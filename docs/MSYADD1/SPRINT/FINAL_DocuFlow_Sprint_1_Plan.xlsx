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varona\Downloads\"/>
    </mc:Choice>
  </mc:AlternateContent>
  <xr:revisionPtr revIDLastSave="0" documentId="13_ncr:1_{29D8C5E8-FC3E-43C0-BAF1-06667DA566ED}" xr6:coauthVersionLast="47" xr6:coauthVersionMax="47" xr10:uidLastSave="{00000000-0000-0000-0000-000000000000}"/>
  <bookViews>
    <workbookView xWindow="-120" yWindow="-120" windowWidth="20730" windowHeight="11040" activeTab="1" xr2:uid="{00000000-000D-0000-FFFF-FFFF00000000}"/>
  </bookViews>
  <sheets>
    <sheet name="Main" sheetId="1" r:id="rId1"/>
    <sheet name="Backlog" sheetId="2" r:id="rId2"/>
    <sheet name="Impediment" sheetId="4" r:id="rId3"/>
    <sheet name="Summary" sheetId="6" r:id="rId4"/>
    <sheet name="Retrospective" sheetId="5" r:id="rId5"/>
    <sheet name="References" sheetId="7" r:id="rId6"/>
    <sheet name="Tracker" sheetId="3" r:id="rId7"/>
  </sheets>
  <definedNames>
    <definedName name="_xlnm._FilterDatabase" localSheetId="1" hidden="1">Backlog!$B$7:$R$7</definedName>
    <definedName name="_xlnm._FilterDatabase" localSheetId="2" hidden="1">Impediment!$B$7:$L$7</definedName>
    <definedName name="_xlnm._FilterDatabase" localSheetId="4" hidden="1">Retrospective!$B$7:$H$7</definedName>
    <definedName name="_xlnm._FilterDatabase" localSheetId="6" hidden="1">Tracker!$B$7:$S$7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38" i="3" l="1"/>
  <c r="R38" i="3"/>
  <c r="Q38" i="3"/>
  <c r="P38" i="3"/>
  <c r="O38" i="3"/>
  <c r="N38" i="3"/>
  <c r="M38" i="3"/>
  <c r="L38" i="3"/>
  <c r="K38" i="3"/>
  <c r="J38" i="3"/>
  <c r="J40" i="3" s="1"/>
  <c r="G38" i="3"/>
  <c r="H36" i="3"/>
  <c r="I36" i="3" s="1"/>
  <c r="I31" i="3"/>
  <c r="H31" i="3"/>
  <c r="H30" i="3"/>
  <c r="I30" i="3" s="1"/>
  <c r="H29" i="3"/>
  <c r="I29" i="3" s="1"/>
  <c r="H28" i="3"/>
  <c r="I28" i="3" s="1"/>
  <c r="I27" i="3"/>
  <c r="H26" i="3"/>
  <c r="I26" i="3" s="1"/>
  <c r="H25" i="3"/>
  <c r="I25" i="3" s="1"/>
  <c r="H24" i="3"/>
  <c r="I24" i="3" s="1"/>
  <c r="I23" i="3"/>
  <c r="H23" i="3"/>
  <c r="H22" i="3"/>
  <c r="I22" i="3" s="1"/>
  <c r="H21" i="3"/>
  <c r="I21" i="3" s="1"/>
  <c r="H20" i="3"/>
  <c r="I20" i="3" s="1"/>
  <c r="I19" i="3"/>
  <c r="H18" i="3"/>
  <c r="I18" i="3" s="1"/>
  <c r="H17" i="3"/>
  <c r="I17" i="3" s="1"/>
  <c r="H16" i="3"/>
  <c r="I16" i="3" s="1"/>
  <c r="H15" i="3"/>
  <c r="I15" i="3" s="1"/>
  <c r="H14" i="3"/>
  <c r="I14" i="3" s="1"/>
  <c r="H13" i="3"/>
  <c r="I13" i="3" s="1"/>
  <c r="I12" i="3"/>
  <c r="H11" i="3"/>
  <c r="I11" i="3" s="1"/>
  <c r="I10" i="3"/>
  <c r="H9" i="3"/>
  <c r="I9" i="3" s="1"/>
  <c r="H8" i="3"/>
  <c r="I8" i="3" s="1"/>
  <c r="I38" i="3" l="1"/>
  <c r="J39" i="3"/>
  <c r="K39" i="3" s="1"/>
  <c r="L39" i="3" s="1"/>
  <c r="M39" i="3" s="1"/>
  <c r="N39" i="3" s="1"/>
  <c r="O39" i="3" s="1"/>
  <c r="P39" i="3" s="1"/>
  <c r="Q39" i="3" s="1"/>
  <c r="R39" i="3" s="1"/>
  <c r="S39" i="3" s="1"/>
  <c r="K40" i="3"/>
  <c r="L40" i="3" s="1"/>
  <c r="M40" i="3" s="1"/>
  <c r="N40" i="3" s="1"/>
  <c r="O40" i="3" s="1"/>
  <c r="P40" i="3" s="1"/>
  <c r="Q40" i="3" s="1"/>
  <c r="R40" i="3" s="1"/>
  <c r="S40" i="3" s="1"/>
  <c r="H38" i="3"/>
</calcChain>
</file>

<file path=xl/sharedStrings.xml><?xml version="1.0" encoding="utf-8"?>
<sst xmlns="http://schemas.openxmlformats.org/spreadsheetml/2006/main" count="485" uniqueCount="199">
  <si>
    <t>Scrum Project</t>
  </si>
  <si>
    <t>Product</t>
  </si>
  <si>
    <t>DocuFlow: A Secure Document Tracker with Multi-Level Review System</t>
  </si>
  <si>
    <t>Product Status</t>
  </si>
  <si>
    <t>Development</t>
  </si>
  <si>
    <t>Active versions</t>
  </si>
  <si>
    <t>v0.1 (Sprint Planning)</t>
  </si>
  <si>
    <t>Sponsor</t>
  </si>
  <si>
    <t>DOST-STII</t>
  </si>
  <si>
    <t>Team</t>
  </si>
  <si>
    <t>DocuFlow Development Team</t>
  </si>
  <si>
    <t>Scrum Master</t>
  </si>
  <si>
    <t>Nairb Ackillis Varona</t>
  </si>
  <si>
    <t>Product Owner</t>
  </si>
  <si>
    <t>Developers</t>
  </si>
  <si>
    <t>Romeo Albeza Jr., Raniel Dela Cruz, Iane Sofia Francheska Padua</t>
  </si>
  <si>
    <t>Project Champion</t>
  </si>
  <si>
    <t>Edward Mandac (Adviser)</t>
  </si>
  <si>
    <t>Other Stakeholders</t>
  </si>
  <si>
    <t>DOST-STII Staff</t>
  </si>
  <si>
    <t>Projects</t>
  </si>
  <si>
    <t>Sprint Plan</t>
  </si>
  <si>
    <t>Project #1</t>
  </si>
  <si>
    <t>Id</t>
  </si>
  <si>
    <t>Description</t>
  </si>
  <si>
    <t>Start</t>
  </si>
  <si>
    <t>End</t>
  </si>
  <si>
    <t>Status</t>
  </si>
  <si>
    <t>Remarks</t>
  </si>
  <si>
    <t>Sprint</t>
  </si>
  <si>
    <t>Story Points (Committed)</t>
  </si>
  <si>
    <t>Story Points (Delivered)</t>
  </si>
  <si>
    <t>DocuFlow Platform Development (DOST-STII)</t>
  </si>
  <si>
    <t>Backlog</t>
  </si>
  <si>
    <t>Theme</t>
  </si>
  <si>
    <t>As a..</t>
  </si>
  <si>
    <t>I want to ..</t>
  </si>
  <si>
    <t>so that ..</t>
  </si>
  <si>
    <t>Acceptance Criteria</t>
  </si>
  <si>
    <t>Priority</t>
  </si>
  <si>
    <t>Type</t>
  </si>
  <si>
    <t>Project Id</t>
  </si>
  <si>
    <t>Sprint Id</t>
  </si>
  <si>
    <t>Story Points (Est.)</t>
  </si>
  <si>
    <t>Effort (Actual)</t>
  </si>
  <si>
    <t>Owner</t>
  </si>
  <si>
    <t>Submit/Resubmit Document</t>
  </si>
  <si>
    <t>Document Source</t>
  </si>
  <si>
    <t>Feature</t>
  </si>
  <si>
    <t>DocuFlow</t>
  </si>
  <si>
    <t>Romeo Albeza Jr.</t>
  </si>
  <si>
    <t>Review Document</t>
  </si>
  <si>
    <t>Sprint Tracker</t>
  </si>
  <si>
    <t>&lt;- effort / day -&gt;</t>
  </si>
  <si>
    <t>Backlog Id</t>
  </si>
  <si>
    <t>Completed</t>
  </si>
  <si>
    <t>Pending</t>
  </si>
  <si>
    <t>Day 1</t>
  </si>
  <si>
    <t>Day 2</t>
  </si>
  <si>
    <t>Day 3</t>
  </si>
  <si>
    <t>Day 4</t>
  </si>
  <si>
    <t>Day 5</t>
  </si>
  <si>
    <t>Day 6</t>
  </si>
  <si>
    <t>Day 7</t>
  </si>
  <si>
    <t>Day 8</t>
  </si>
  <si>
    <t>Day 9</t>
  </si>
  <si>
    <t>Day 10</t>
  </si>
  <si>
    <t>Iane Sofia Francheska Padua</t>
  </si>
  <si>
    <t>Raniel Dela Cruz</t>
  </si>
  <si>
    <t>Total</t>
  </si>
  <si>
    <t>Burn down</t>
  </si>
  <si>
    <t>Burn up</t>
  </si>
  <si>
    <t>Impediments</t>
  </si>
  <si>
    <t>Raised By</t>
  </si>
  <si>
    <t>Raised On</t>
  </si>
  <si>
    <t>Sprint #</t>
  </si>
  <si>
    <t>Impacted Backlog #</t>
  </si>
  <si>
    <t>Resolution</t>
  </si>
  <si>
    <t>Resolved On</t>
  </si>
  <si>
    <t>Retrospective Log</t>
  </si>
  <si>
    <t>Date</t>
  </si>
  <si>
    <t>Continue Doing</t>
  </si>
  <si>
    <t>Start Doing</t>
  </si>
  <si>
    <t>Stop Doing</t>
  </si>
  <si>
    <t>Reports &amp; Dashboards</t>
  </si>
  <si>
    <t>Sprint Velocity</t>
  </si>
  <si>
    <t>Burn down Chart</t>
  </si>
  <si>
    <t>Burn up Chart</t>
  </si>
  <si>
    <t>References</t>
  </si>
  <si>
    <t>External</t>
  </si>
  <si>
    <t>Internal</t>
  </si>
  <si>
    <t>Link</t>
  </si>
  <si>
    <t>Glossary &amp; Terminology</t>
  </si>
  <si>
    <t>https://www.scrumalliance.org/community/articles/2007/march/glossary-of-scrum-terms</t>
  </si>
  <si>
    <t>submit a document by providing a Google Workspace link or uploading a file</t>
  </si>
  <si>
    <t>my document is checked against the requirements before it goes to review</t>
  </si>
  <si>
    <t>The Document Source can open the submission form by clicking "Submit New Document" if they have submission rights.
The Document Source can submit a Google Workspace link (from docs.google.com) or upload a .pdf, .docx, or .xlsx file (up to 10MB per file and 100MB in total; executable files are rejected) and enter the required document details. The system checks the link or file, the link's sharing settings, and the required details.
If the link or file does not meet the system requirements, the system rejects the submission and asks the Document Source to correct it.
If the Google Workspace link cannot be accessed using the required sharing settings, the system asks the Document Source to correct the access permissions.
If the required document details are missing or invalid, the system rejects the submission and asks the Document Source to correct them.</t>
  </si>
  <si>
    <t>UC-02 steps 1.0–1.1, 2.0–2.3; exceptions 2.1.1, 2.2.1, 2.3.1</t>
  </si>
  <si>
    <t>select an eligible Immediate Supervisor (L1) as the reviewer of my document</t>
  </si>
  <si>
    <t>my document goes to a qualified reviewer and conflicts of interest are prevented</t>
  </si>
  <si>
    <t>The Document Source can select an eligible Immediate Supervisor (L1) as the reviewer. The system verifies submission rights, applies the Self-Review Restriction, and checks that the selected Immediate Supervisor (L1) is active and eligible.
If the Document Source selects themself as the reviewer, the system blocks the submission and shows a Self-Review Restriction message.
If the Document Source selects no Immediate Supervisor (L1), or one who is inactive or ineligible, the system asks them to select an eligible Immediate Supervisor (L1).</t>
  </si>
  <si>
    <t>UC-02 steps 3.0–3.3; exceptions 3.1.1, 3.2.1, 3.3.1</t>
  </si>
  <si>
    <t>confirm and submit my document</t>
  </si>
  <si>
    <t>it is recorded with a reference number and sent to my selected reviewer for review</t>
  </si>
  <si>
    <t>The Document Source can confirm and submit the document. The system then checks for possible duplicates and requests AI feedback when available, generates the reference number (DOCTYPE-YYYY-NNNNN), and saves the document with its system-generated Date Submitted, duplicate warning, and AI feedback.
The system assigns the document to the selected Immediate Supervisor (L1) with the status "Pending Level 1 Review," starts their TAT, records the submission in the activity log, and sends the in-system and email notification.
The Document Source can see a confirmation with the reference number, Date Submitted, and current document status.
If the document cannot be fully saved because of a system or database error, the system does not submit it and asks the Document Source to try again.</t>
  </si>
  <si>
    <t>UC-02 steps 4.0, 4.5–5.1; exceptions 4.6.1, 4.9.1; AI and duplicate-check parts deferred (not in Sprint 1)</t>
  </si>
  <si>
    <t>open a returned document and start a resubmission</t>
  </si>
  <si>
    <t>I can see the return remarks and the reference number before I fix the document</t>
  </si>
  <si>
    <t>The Document Source can open a returned document and click "Resubmit" to see the returned document details, the latest return remarks, and the existing reference number.
If the document is not in a returned state, the system blocks the resubmission and shows the current document status.</t>
  </si>
  <si>
    <t>UC-02 steps 6.0–6.2; exceptions 6.1.1</t>
  </si>
  <si>
    <t>update my returned document and enter a note on what I changed</t>
  </si>
  <si>
    <t>the reviewer knows what I revised</t>
  </si>
  <si>
    <t>The Document Source can update the Google Workspace link or file and enter a note on what changed. The system checks the system requirements, the sharing settings, the required details, and that the previously assigned Immediate Supervisor (L1) is still active and eligible.
If the link or file does not meet the system requirements, the system rejects the resubmission and asks the Document Source to correct it.
If the Google Workspace link cannot be accessed using the required sharing settings, the system asks the Document Source to correct the access permissions.
If the required document details are missing or invalid, the system rejects the resubmission and asks the Document Source to correct them.
If the previously assigned Immediate Supervisor (L1) is no longer active or eligible, the system asks the Document Source to assign another eligible Immediate Supervisor (L1) and applies the Self-Review Restriction.</t>
  </si>
  <si>
    <t>UC-02 steps 7.0–7.4; exceptions 7.1.1, 7.2.1, 7.3.1, 7.4.1</t>
  </si>
  <si>
    <t>confirm and resubmit my document</t>
  </si>
  <si>
    <t>it goes back to Level 1 review under the same reference number</t>
  </si>
  <si>
    <t>The Document Source can confirm and resubmit the document. The system then checks for duplicates (excluding the document's own earlier revisions under the same reference number) and requests AI feedback when available, and keeps the original reference number and Date Submitted.
The system creates a new revision entry with the resubmission date, saves the note in the revision history, increases the resubmission counter, and saves the duplicate warning and AI feedback with the document record.
The system returns the document to the previously assigned Immediate Supervisor (L1) (or the newly assigned one if the previous is no longer active or eligible) with the status "Pending Level 1 Review," starts their TAT, records the resubmission in the activity log, and sends the in-system and email notification.
The Document Source can see a confirmation with the reference number and current document status.
If the resubmission cannot be fully saved because of a system or database error, the system keeps the document in its returned state and asks the Document Source to try again.</t>
  </si>
  <si>
    <t>UC-02 steps 8.0, 8.5–9.1; exceptions 8.5.1, 8.9.1; AI and duplicate-check parts deferred (not in Sprint 1)</t>
  </si>
  <si>
    <t>Immediate Supervisor (L1)</t>
  </si>
  <si>
    <t>submit a document the same way a Document Source does</t>
  </si>
  <si>
    <t>I can send the documents I submit through the same review process</t>
  </si>
  <si>
    <t>The Immediate Supervisor (L1) can submit or resubmit a document if they have submission rights, with the same checks as for the Document Source: link or file requirements, sharing settings, required details, the Self-Review Restriction, the selected Immediate Supervisor (L1), and, for a resubmission, that the document is returned and the previously assigned Immediate Supervisor (L1) is still active and eligible.
If the Immediate Supervisor (L1) selects themself as the reviewer, the system blocks the submission and shows a Self-Review Restriction message.</t>
  </si>
  <si>
    <t>UC-02, same steps as Ids 13–18 (actor: Immediate Supervisor (L1)); exceptions 3.1.1, 3.2.1</t>
  </si>
  <si>
    <t>Section Head (L2)</t>
  </si>
  <si>
    <t>The Section Head (L2) can submit or resubmit a document if they have submission rights, with the same checks as for the Document Source: link or file requirements, sharing settings, required details, the Self-Review Restriction, the selected Immediate Supervisor (L1), and, for a resubmission, that the document is returned and the previously assigned Immediate Supervisor (L1) is still active and eligible.
If the Section Head (L2) selects themself as the reviewer, the system blocks the submission and shows a Self-Review Restriction message.</t>
  </si>
  <si>
    <t>UC-02, same steps as Ids 13–18 (actor: Section Head (L2)); exceptions 3.1.1, 3.2.1</t>
  </si>
  <si>
    <t>open a document assigned to me from my review queue and review it in Google Workspace</t>
  </si>
  <si>
    <t>I can review and comment on the document itself</t>
  </si>
  <si>
    <t>The Immediate Supervisor (L1) can open the review queue and select a document assigned to them with the status "Pending Level 1 Review." The system verifies the assignment, status, eligibility for Level 1 Review, and the Self-Review Restriction.
The Immediate Supervisor (L1) can see the document details, revision and review remarks history, duplicate warning and AI feedback (when available), and the Google Workspace link or uploaded file.
The Immediate Supervisor (L1) can open the link or file. The system records that it was opened and changes the review activity state from "New" to "Ongoing" on the first open.
The Immediate Supervisor (L1) can edit or comment in the corresponding Google Workspace application, and each edit is logged automatically through the webhook.
If the webhook fails to log the edits, the system lets the Immediate Supervisor (L1) enter manual feedback instead.
If the Google Workspace link or uploaded file is unavailable, the system shows an error, and the document record, remarks, and history stay accessible.</t>
  </si>
  <si>
    <t>UC-03 steps 1.0–1.4, 4.0–4.3, 5.0–5.1; exceptions 1.1.1–1.3.1, 4.3.1, 5.1.1; AI and duplicate-check parts deferred (not in Sprint 1)</t>
  </si>
  <si>
    <t>The Section Head (L2) can open the review queue and select a document assigned to them with the status "Pending Level 2 Review." The system verifies the assignment, status, eligibility for Level 2 Review, and the Self-Review Restriction.
The Section Head (L2) can see the document details, revision and review remarks history, duplicate warning and AI feedback (when available), and the Google Workspace link or uploaded file.
The Section Head (L2) can open the link or file. The system records that it was opened and changes the review activity state from "New" to "Ongoing" on the first open.
The Section Head (L2) can edit or comment in the corresponding Google Workspace application, and each edit is logged automatically through the webhook.
If the webhook fails to log the edits, the system lets the Section Head (L2) enter manual feedback instead.
If the Google Workspace link or uploaded file is unavailable, the system shows an error, and the document record, remarks, and history stay accessible.</t>
  </si>
  <si>
    <t>UC-03 steps 2.0–2.4, 4.0–4.3, 5.0–5.1; exceptions 2.1.1–2.3.1, 4.3.1, 5.1.1; AI and duplicate-check parts deferred (not in Sprint 1)</t>
  </si>
  <si>
    <t>Division Chief (L3)</t>
  </si>
  <si>
    <t>The Division Chief (L3) can open the review queue and select a document assigned to them with the status "Pending Level 3 Review." The system verifies the assignment, status, eligibility for Level 3 Review, and the Self-Review Restriction.
The Division Chief (L3) can see the document details, revision and review remarks history, duplicate warning and AI feedback (when available), and the Google Workspace link or uploaded file.
The Division Chief (L3) can open the link or file. The system records that it was opened and changes the review activity state from "New" to "Ongoing" on the first open.
The Division Chief (L3) can edit or comment in the corresponding Google Workspace application, and each edit is logged automatically through the webhook.
If the webhook fails to log the edits, the system lets the Division Chief (L3) enter manual feedback instead.
If the Google Workspace link or uploaded file is unavailable, the system shows an error, and the document record, remarks, and history stay accessible.</t>
  </si>
  <si>
    <t>UC-03 steps 3.0–3.4, 4.0–4.3, 5.0–5.1; exceptions 3.1.1–3.3.1, 4.3.1, 5.1.1; AI and duplicate-check parts deferred (not in Sprint 1)</t>
  </si>
  <si>
    <t>Immediate Supervisor (L1), Section Head (L2), or Division Chief (L3)</t>
  </si>
  <si>
    <t>be blocked from reviewing a document that is not assigned to me, that I am not eligible to review, or that I submitted myself</t>
  </si>
  <si>
    <t>the review process stays limited to eligible reviewers with no conflict of interest</t>
  </si>
  <si>
    <t>If a document is not assigned to the reviewer, or its status does not match their level, the system blocks the review action and shows the current document status.
If the reviewer is not eligible for the current review level, the system blocks the review action and shows the current document status.
If the reviewer is the Document Source, Immediate Supervisor (L1), or Section Head (L2) who submitted the document, the system blocks the review action and shows the current document status.</t>
  </si>
  <si>
    <t>UC-03 steps 1.1–1.3, 2.1–2.3, 3.1–3.3; exceptions 1.1.1–1.3.1, 2.1.1–2.3.1, 3.1.1–3.3.1</t>
  </si>
  <si>
    <t>have the system mark my review as "Ongoing" when I first open an assigned document</t>
  </si>
  <si>
    <t>others can see that the review has started without a manual update</t>
  </si>
  <si>
    <t>The review activity state of an assigned document changes automatically from "New" to "Ongoing" when the reviewer first opens it.
In the dashboard summary, "New" means assigned but not yet opened, "Ongoing" means opened with no completed review action, and "Pending" covers all incomplete reviews.
These review activity states are for monitoring and do not replace the statuses "Pending Level 1 Review," "Pending Level 2 Review," and "Pending Level 3 Review."</t>
  </si>
  <si>
    <t>UC-03 steps 4.1–4.2</t>
  </si>
  <si>
    <t>forward a document to an eligible Section Head (L2)</t>
  </si>
  <si>
    <t>the document moves to Level 2 review</t>
  </si>
  <si>
    <t>The Immediate Supervisor (L1) can enter the official remarks, select Forward, and choose an eligible Section Head (L2). The system validates the Section Head (L2) and applies the eligibility rules and the Self-Review Restriction.
The Immediate Supervisor (L1) can confirm Forward. The system then saves the review as read-only history and stops the Immediate Supervisor's (L1) TAT.
The system assigns the document to the selected Section Head (L2) with the status "Pending Level 2 Review," starts the Section Head's (L2) TAT, records the action in the activity log, and sends the in-system and email notification to the Section Head (L2).
If the selected Section Head (L2) is inactive, ineligible, or violates the Self-Review Restriction, the system blocks Forward and asks the Immediate Supervisor (L1) to select another eligible Section Head (L2).
If the official remarks are incomplete, the system blocks Forward and asks the Immediate Supervisor (L1) to complete them.</t>
  </si>
  <si>
    <t>UC-03 steps 7.0–7.1, 7.3, 8.0–8.1, 12.0–12.4, 12.6–12.8; exceptions 7.1.1, 8.1.1</t>
  </si>
  <si>
    <t>return a document to the Document Source with my remarks</t>
  </si>
  <si>
    <t>the Document Source knows what to correct</t>
  </si>
  <si>
    <t>The Immediate Supervisor (L1) can enter the official remarks and select Return. The system checks that the official remarks were entered.
The Immediate Supervisor (L1) can confirm Return. The system then saves the review as read-only history and stops the Immediate Supervisor's (L1) TAT.
The system changes the status to "Returned to Source," records the action in the activity log, and sends the in-system and email notification to the Document Source.
If the Immediate Supervisor (L1) selects Return without official remarks, the system blocks Return and asks them to enter remarks.</t>
  </si>
  <si>
    <t>UC-03 steps 11.0–11.1, 12.0–12.4, 12.6–12.8; exceptions 11.1.1</t>
  </si>
  <si>
    <t>endorse a document to the designated Division Chief (L3)</t>
  </si>
  <si>
    <t>the document moves to final approval</t>
  </si>
  <si>
    <t>The Section Head (L2) can enter the official remarks and select Endorse. The system identifies the designated Division Chief (L3) as the next reviewer, who stays assigned even when temporarily unavailable.
The Section Head (L2) can confirm Endorse. The system then saves the review as read-only history and stops the Section Head's (L2) TAT.
The system assigns the document to the designated Division Chief (L3) with the status "Pending Level 3 Review," starts the Division Chief's (L3) TAT, records the action in the activity log, and sends the in-system and email notification to the Division Chief (L3).
If the official remarks are incomplete, the system blocks Endorse and asks the Section Head (L2) to complete them.</t>
  </si>
  <si>
    <t>UC-03 steps 9.0–9.1, 12.0–12.4, 12.6–12.8; exceptions 7.1.1</t>
  </si>
  <si>
    <t>the Document Source knows what to correct before the document continues</t>
  </si>
  <si>
    <t>The Section Head (L2) can enter the official remarks and select Return. The system checks that the official remarks were entered.
The Section Head (L2) can confirm Return. The system then saves the review as read-only history and stops the Section Head's (L2) TAT.
The system changes the status to "Returned to Source," records the action in the activity log, and sends the in-system and email notification to the Document Source.
If the Section Head (L2) selects Return without official remarks, the system blocks Return and asks them to enter remarks.</t>
  </si>
  <si>
    <t>give final approval to a document</t>
  </si>
  <si>
    <t>the document is officially completed and the Document Source is informed</t>
  </si>
  <si>
    <t>The Division Chief (L3) can select Approve on a document with the status "Pending Level 3 Review." The system verifies that it is still "Pending Level 3 Review" and that the Division Chief (L3) is the designated Level 3 reviewer.
The Division Chief (L3) can confirm Approve. The system then saves the review as read-only history and stops the Division Chief's (L3) TAT.
The system changes the status to "Approved - Complete," records the action in the activity log, and sends the in-system and email notification to the Document Source.
If the document is no longer "Pending Level 3 Review," or the Division Chief (L3) is not the designated Level 3 reviewer, the system blocks the approval and shows the current document status.
If the official remarks are incomplete, the system blocks Approve and asks the Division Chief (L3) to complete them.</t>
  </si>
  <si>
    <t>UC-03 steps 10.0–10.1, 12.0–12.4, 12.6–12.8; exceptions 10.1.1, 7.1.1</t>
  </si>
  <si>
    <t>the Document Source can revise and resubmit it if it cannot be approved</t>
  </si>
  <si>
    <t>The Division Chief (L3) can enter the official remarks and select Return. The system checks that the official remarks were entered.
The Division Chief (L3) can confirm Return. The system then saves the review as read-only history and stops the Division Chief's (L3) TAT.
The system changes the status to "Returned to Source," records the action in the activity log, and sends the in-system and email notification to the Document Source.
If the Division Chief (L3) selects Return without official remarks, the system blocks Return and asks them to enter remarks.</t>
  </si>
  <si>
    <t>have my turnaround time (TAT) tracked automatically when I complete a review action</t>
  </si>
  <si>
    <t>my review time is measured consistently without manual counting</t>
  </si>
  <si>
    <t>The system stops the reviewer's TAT (turnaround time) automatically when a review action (Return, Forward, Endorse, or Approve) is completed.
TAT is counted in working days, excludes configured Philippine holidays, and excludes the time spent waiting for the Document Source to revise a returned document.
If the system returns a document because the reviewer's account is disabled or the reviewer is no longer eligible, the reviewer's TAT stops.
When a document is forwarded or endorsed, the system starts the TAT of the Section Head (L2) or Division Chief (L3) who receives it.</t>
  </si>
  <si>
    <t>UC-03 steps 12.2, 12.4</t>
  </si>
  <si>
    <t>have my review action protected if it fails to save</t>
  </si>
  <si>
    <t>I do not lose my work or leave the document in a broken state because of a system error</t>
  </si>
  <si>
    <t>If the completed review action cannot be fully saved because of a system or database error, the system keeps the document in its previous valid state and asks the reviewer to try again.</t>
  </si>
  <si>
    <t>UC-03 step 12.1; exceptions 12.1.1</t>
  </si>
  <si>
    <t>be notified when a document is assigned, forwarded, or endorsed to me</t>
  </si>
  <si>
    <t>I know when a document is waiting for my review</t>
  </si>
  <si>
    <t>The reviewer receives an in-system and email notification when a document is assigned to them on submission or resubmission (Immediate Supervisor (L1)), or forwarded or endorsed to them (Section Head (L2) or Division Chief (L3)).
If external delivery fails, the submission, resubmission, or review action remains valid, the system keeps the in-system notification, and the delivery failure is recorded.</t>
  </si>
  <si>
    <t>UC-03 step 12.8 and UC-02 steps 4.9, 8.9; exceptions 12.8.1, 4.9.1, 8.9.1</t>
  </si>
  <si>
    <t>be notified when a document assigned to me becomes overdue</t>
  </si>
  <si>
    <t>I can see the delay and act on it</t>
  </si>
  <si>
    <t>The assigned reviewer receives an in-system overdue notification when the reviewer's TAT on an assigned document goes past the standard review period of five working days, and the Document Source is notified as well.
The notification is for monitoring only and does not skip reviewers or bypass the required review sequence.</t>
  </si>
  <si>
    <t>UC-03 steps 13.0–13.1</t>
  </si>
  <si>
    <t>be notified when my document is returned or approved</t>
  </si>
  <si>
    <t>I know the result without following up manually</t>
  </si>
  <si>
    <t>The Document Source receives an in-system and email notification when the document is returned or approved.
The Document Source also receives the notification when the system returns the document because the assigned reviewer's account was disabled or the reviewer is no longer eligible.
If external delivery fails, the review action remains valid, the system keeps the in-system notification, and the delivery failure is recorded.</t>
  </si>
  <si>
    <t>UC-03 step 12.8; exceptions 12.8.1</t>
  </si>
  <si>
    <t>Final Product Backlog (Product_Backlog_FINAL.xlsx)</t>
  </si>
  <si>
    <t>For confirmation (add shared link)</t>
  </si>
  <si>
    <t>Final Use Case Full Description (RRuNS - UseCaseFD Finals V4)</t>
  </si>
  <si>
    <t>Final Use Case Diagram (RRuNS - Use Case Diagram FINALS)</t>
  </si>
  <si>
    <t>Sprint 1 is 10 working days (2026-09-21 to 2026-10-02, weekends off).</t>
  </si>
  <si>
    <t>High</t>
  </si>
  <si>
    <t>Medium</t>
  </si>
  <si>
    <t>Low</t>
  </si>
  <si>
    <t>Done</t>
  </si>
  <si>
    <t>Holiday exclusion uses seeded holiday dates. The Holiday Calendar maintenance screen (Story 47, UC-04) is not part of Sprint 1.</t>
  </si>
  <si>
    <t>Spr. 1.1</t>
  </si>
  <si>
    <t>Scope: UC-02 Submit/Resubmit Document (Ids 13–20). Covers submission and resubmission (Google Workspace link or file checks, Self-Review Restriction, reference number) for the Document Source, Immediate Supervisor (L1), and Section Head (L2). AI features (Ids 21, 22) are not included in this sprint.</t>
  </si>
  <si>
    <t>Spr. 1.2</t>
  </si>
  <si>
    <t>Scope: UC-03 Review Document (Ids 23–27, 31–41). Covers the Level 1–3 review actions (Return, Forward, Endorse, Approve), TAT tracking, and notifications. AI features (Ids 28, 29, 30) are not included in this sprint.</t>
  </si>
  <si>
    <t>Nairb Ackillis Varona / Iane Sofia Francheska Padua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</si>
</sst>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mmm/yy;@"/>
  </numFmts>
  <fonts count="10" x14ac:knownFonts="1">
    <font>
      <sz val="10"/>
      <color theme="1"/>
      <name val="Calibri"/>
      <family val="2"/>
      <scheme val="minor"/>
    </font>
    <font>
      <b/>
      <sz val="11"/>
      <color theme="1"/>
      <name val="Calibri"/>
      <family val="2"/>
      <scheme val="minor"/>
    </font>
    <font>
      <b/>
      <sz val="14"/>
      <color theme="1"/>
      <name val="Calibri"/>
      <family val="2"/>
      <scheme val="minor"/>
    </font>
    <font>
      <b/>
      <sz val="10"/>
      <color theme="1"/>
      <name val="Calibri"/>
      <family val="2"/>
      <scheme val="minor"/>
    </font>
    <font>
      <sz val="10"/>
      <color theme="1"/>
      <name val="Calibri"/>
      <family val="2"/>
      <scheme val="minor"/>
    </font>
    <font>
      <u/>
      <sz val="11"/>
      <color theme="10"/>
      <name val="Calibri"/>
      <family val="2"/>
      <scheme val="minor"/>
    </font>
    <font>
      <u/>
      <sz val="10"/>
      <color theme="10"/>
      <name val="Calibri"/>
      <family val="2"/>
      <scheme val="minor"/>
    </font>
    <font>
      <sz val="8"/>
      <color theme="0" tint="-0.249977111117893"/>
      <name val="Calibri"/>
      <family val="2"/>
      <scheme val="minor"/>
    </font>
    <font>
      <i/>
      <sz val="10"/>
      <color theme="1"/>
      <name val="Calibri"/>
      <family val="2"/>
      <scheme val="minor"/>
    </font>
    <font>
      <sz val="10"/>
      <color rgb="FF000000"/>
      <name val="Calibri"/>
      <family val="2"/>
      <scheme val="minor"/>
    </font>
  </fonts>
  <fills count="10">
    <fill>
      <patternFill patternType="none"/>
    </fill>
    <fill>
      <patternFill patternType="gray125"/>
    </fill>
    <fill>
      <patternFill patternType="solid">
        <fgColor theme="4" tint="0.7999816888943144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6" tint="0.39997558519241921"/>
        <bgColor indexed="64"/>
      </patternFill>
    </fill>
    <fill>
      <patternFill patternType="solid">
        <fgColor theme="3" tint="0.79998168889431442"/>
        <bgColor indexed="64"/>
      </patternFill>
    </fill>
    <fill>
      <patternFill patternType="solid">
        <fgColor theme="0" tint="-4.9989318521683403E-2"/>
        <bgColor indexed="64"/>
      </patternFill>
    </fill>
  </fills>
  <borders count="4">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bottom style="thin">
        <color theme="0" tint="-0.24994659260841701"/>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5" fillId="0" borderId="0"/>
  </cellStyleXfs>
  <cellXfs count="52">
    <xf numFmtId="0" fontId="0" fillId="0" borderId="0" xfId="0"/>
    <xf numFmtId="0" fontId="1" fillId="0" borderId="0" xfId="0" applyFont="1"/>
    <xf numFmtId="0" fontId="2" fillId="0" borderId="0" xfId="0" applyFont="1"/>
    <xf numFmtId="0" fontId="0" fillId="0" borderId="1" xfId="0" applyBorder="1"/>
    <xf numFmtId="0" fontId="0" fillId="0" borderId="2" xfId="0" applyBorder="1"/>
    <xf numFmtId="0" fontId="1" fillId="2" borderId="1" xfId="0" applyFont="1" applyFill="1" applyBorder="1" applyAlignment="1">
      <alignment horizontal="right"/>
    </xf>
    <xf numFmtId="0" fontId="1" fillId="0" borderId="2" xfId="0" applyFont="1" applyBorder="1"/>
    <xf numFmtId="0" fontId="3" fillId="2" borderId="1" xfId="0" applyFont="1" applyFill="1" applyBorder="1" applyAlignment="1">
      <alignment horizontal="right"/>
    </xf>
    <xf numFmtId="0" fontId="4" fillId="0" borderId="1" xfId="0" applyFont="1" applyBorder="1"/>
    <xf numFmtId="0" fontId="4" fillId="0" borderId="0" xfId="0" applyFont="1"/>
    <xf numFmtId="0" fontId="0" fillId="0" borderId="1" xfId="0" applyBorder="1" applyAlignment="1">
      <alignment horizontal="center"/>
    </xf>
    <xf numFmtId="0" fontId="0" fillId="0" borderId="1" xfId="0" applyBorder="1" applyAlignment="1">
      <alignment vertical="top"/>
    </xf>
    <xf numFmtId="0" fontId="0" fillId="0" borderId="0" xfId="0" applyAlignment="1">
      <alignment vertical="top"/>
    </xf>
    <xf numFmtId="0" fontId="0" fillId="0" borderId="0" xfId="0" applyAlignment="1">
      <alignment wrapText="1"/>
    </xf>
    <xf numFmtId="0" fontId="4" fillId="0" borderId="0" xfId="0" applyFont="1" applyAlignment="1">
      <alignment wrapText="1"/>
    </xf>
    <xf numFmtId="164" fontId="4" fillId="0" borderId="1" xfId="0" applyNumberFormat="1" applyFont="1" applyBorder="1" applyAlignment="1">
      <alignment horizontal="center"/>
    </xf>
    <xf numFmtId="0" fontId="4" fillId="0" borderId="1" xfId="0" applyFont="1" applyBorder="1" applyAlignment="1">
      <alignment horizontal="center"/>
    </xf>
    <xf numFmtId="0" fontId="4" fillId="0" borderId="1" xfId="0" applyFont="1" applyBorder="1" applyAlignment="1">
      <alignment vertical="top"/>
    </xf>
    <xf numFmtId="0" fontId="4" fillId="3" borderId="1" xfId="0" applyFont="1" applyFill="1" applyBorder="1" applyAlignment="1">
      <alignment horizontal="center" vertical="center" wrapText="1"/>
    </xf>
    <xf numFmtId="0" fontId="4" fillId="0" borderId="0" xfId="0" applyFont="1" applyAlignment="1">
      <alignment vertical="center" wrapText="1"/>
    </xf>
    <xf numFmtId="0" fontId="4" fillId="4" borderId="0" xfId="0" applyFont="1" applyFill="1" applyAlignment="1">
      <alignment horizontal="center" vertical="center" wrapText="1"/>
    </xf>
    <xf numFmtId="0" fontId="0" fillId="0" borderId="0" xfId="0" applyAlignment="1">
      <alignment vertical="top" wrapText="1"/>
    </xf>
    <xf numFmtId="0" fontId="4" fillId="5" borderId="1" xfId="0" applyFont="1" applyFill="1" applyBorder="1"/>
    <xf numFmtId="0" fontId="4" fillId="0" borderId="1" xfId="0" applyFont="1" applyBorder="1" applyAlignment="1">
      <alignment vertical="top" wrapText="1"/>
    </xf>
    <xf numFmtId="0" fontId="6" fillId="0" borderId="1" xfId="1" applyFont="1" applyBorder="1" applyAlignment="1">
      <alignment vertical="top" wrapText="1"/>
    </xf>
    <xf numFmtId="0" fontId="0" fillId="0" borderId="1" xfId="0" applyBorder="1" applyAlignment="1">
      <alignment vertical="top" wrapText="1"/>
    </xf>
    <xf numFmtId="0" fontId="0" fillId="6" borderId="1" xfId="0" applyFill="1" applyBorder="1" applyAlignment="1">
      <alignment horizontal="center" vertical="center" wrapText="1"/>
    </xf>
    <xf numFmtId="0" fontId="0" fillId="3" borderId="1" xfId="0" applyFill="1" applyBorder="1" applyAlignment="1">
      <alignment horizontal="center" vertical="center" wrapText="1"/>
    </xf>
    <xf numFmtId="0" fontId="3" fillId="0" borderId="0" xfId="0" applyFont="1"/>
    <xf numFmtId="0" fontId="0" fillId="3" borderId="1" xfId="0" applyFill="1" applyBorder="1" applyAlignment="1">
      <alignment horizontal="center" vertical="center" textRotation="90" wrapText="1"/>
    </xf>
    <xf numFmtId="0" fontId="7" fillId="0" borderId="0" xfId="0" applyFont="1" applyAlignment="1">
      <alignment horizontal="left"/>
    </xf>
    <xf numFmtId="0" fontId="0" fillId="8" borderId="1" xfId="0" applyFill="1" applyBorder="1" applyAlignment="1">
      <alignment horizontal="center"/>
    </xf>
    <xf numFmtId="0" fontId="0" fillId="8" borderId="0" xfId="0" applyFill="1"/>
    <xf numFmtId="0" fontId="0" fillId="8" borderId="1" xfId="0" applyFill="1" applyBorder="1"/>
    <xf numFmtId="0" fontId="0" fillId="9" borderId="0" xfId="0" applyFill="1"/>
    <xf numFmtId="0" fontId="0" fillId="9" borderId="1" xfId="0" applyFill="1" applyBorder="1" applyAlignment="1">
      <alignment horizontal="center"/>
    </xf>
    <xf numFmtId="0" fontId="3" fillId="9" borderId="1" xfId="0" applyFont="1" applyFill="1" applyBorder="1" applyAlignment="1">
      <alignment horizontal="right" indent="1"/>
    </xf>
    <xf numFmtId="0" fontId="8" fillId="0" borderId="0" xfId="0" applyFont="1" applyAlignment="1">
      <alignment vertical="center"/>
    </xf>
    <xf numFmtId="49" fontId="0" fillId="0" borderId="1" xfId="0" applyNumberFormat="1" applyBorder="1" applyAlignment="1">
      <alignment horizontal="center"/>
    </xf>
    <xf numFmtId="0" fontId="0" fillId="0" borderId="1" xfId="0" applyBorder="1" applyAlignment="1">
      <alignment horizontal="center" wrapText="1"/>
    </xf>
    <xf numFmtId="164" fontId="4" fillId="0" borderId="1" xfId="0" applyNumberFormat="1" applyFont="1" applyBorder="1" applyAlignment="1">
      <alignment horizontal="center" wrapText="1"/>
    </xf>
    <xf numFmtId="0" fontId="0" fillId="0" borderId="1" xfId="0" applyBorder="1" applyAlignment="1">
      <alignment vertical="center" wrapText="1"/>
    </xf>
    <xf numFmtId="0" fontId="0" fillId="0" borderId="1" xfId="0" applyBorder="1" applyAlignment="1">
      <alignment vertical="center"/>
    </xf>
    <xf numFmtId="0" fontId="4" fillId="0" borderId="1" xfId="0" applyFont="1" applyBorder="1" applyAlignment="1">
      <alignment vertical="center" wrapText="1"/>
    </xf>
    <xf numFmtId="0" fontId="9" fillId="0" borderId="3" xfId="0" applyFont="1" applyBorder="1"/>
    <xf numFmtId="0" fontId="0" fillId="0" borderId="0" xfId="0" applyAlignment="1">
      <alignment vertical="center"/>
    </xf>
    <xf numFmtId="0" fontId="0" fillId="6" borderId="1" xfId="0" applyFill="1" applyBorder="1" applyAlignment="1">
      <alignment vertical="center" wrapText="1"/>
    </xf>
    <xf numFmtId="0" fontId="0" fillId="7" borderId="1" xfId="0" applyFill="1" applyBorder="1" applyAlignment="1">
      <alignment vertical="center" wrapText="1"/>
    </xf>
    <xf numFmtId="0" fontId="0" fillId="3" borderId="1" xfId="0" applyFill="1" applyBorder="1" applyAlignment="1">
      <alignment vertical="center" wrapText="1"/>
    </xf>
    <xf numFmtId="14" fontId="0" fillId="0" borderId="0" xfId="0" applyNumberFormat="1" applyAlignment="1">
      <alignment horizontal="center"/>
    </xf>
    <xf numFmtId="0" fontId="9" fillId="0" borderId="3" xfId="0" applyFont="1" applyBorder="1" applyAlignment="1">
      <alignment vertical="center"/>
    </xf>
    <xf numFmtId="0" fontId="0" fillId="0" borderId="1" xfId="0" applyBorder="1" applyAlignment="1">
      <alignment horizontal="lef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IN" sz="1200" b="1" i="0" strike="noStrike" kern="1200" spc="0" normalizeH="0" baseline="0">
                <a:solidFill>
                  <a:sysClr val="windowText" lastClr="000000">
                    <a:lumOff val="50000"/>
                    <a:lumMod val="50000"/>
                  </a:sysClr>
                </a:solidFill>
                <a:latin typeface="+mj-lt"/>
                <a:ea typeface="+mj-ea"/>
                <a:cs typeface="+mj-cs"/>
              </a:defRPr>
            </a:pPr>
            <a:r>
              <a:rPr lang="en-IN" sz="1200" b="1" i="0" strike="noStrike" kern="1200" spc="0" normalizeH="0" baseline="0">
                <a:solidFill>
                  <a:sysClr val="windowText" lastClr="000000">
                    <a:lumOff val="50000"/>
                    <a:lumMod val="50000"/>
                  </a:sysClr>
                </a:solidFill>
                <a:latin typeface="+mj-lt"/>
                <a:ea typeface="+mj-ea"/>
                <a:cs typeface="+mj-cs"/>
              </a:rPr>
              <a:t>Sprint Velocity</a:t>
            </a:r>
          </a:p>
        </c:rich>
      </c:tx>
      <c:overlay val="0"/>
      <c:spPr>
        <a:noFill/>
        <a:ln>
          <a:noFill/>
          <a:prstDash val="solid"/>
        </a:ln>
      </c:spPr>
    </c:title>
    <c:autoTitleDeleted val="0"/>
    <c:plotArea>
      <c:layout/>
      <c:barChart>
        <c:barDir val="col"/>
        <c:grouping val="clustered"/>
        <c:varyColors val="0"/>
        <c:ser>
          <c:idx val="0"/>
          <c:order val="0"/>
          <c:tx>
            <c:strRef>
              <c:f>Main!$M$24</c:f>
              <c:strCache>
                <c:ptCount val="1"/>
                <c:pt idx="0">
                  <c:v>Story Points (Committed)</c:v>
                </c:pt>
              </c:strCache>
            </c:strRef>
          </c:tx>
          <c:spPr>
            <a:solidFill>
              <a:schemeClr val="accent1"/>
            </a:solidFill>
            <a:ln>
              <a:noFill/>
              <a:prstDash val="solid"/>
            </a:ln>
          </c:spPr>
          <c:invertIfNegative val="0"/>
          <c:cat>
            <c:strRef>
              <c:f>Main!$I$25:$I$29</c:f>
              <c:strCache>
                <c:ptCount val="2"/>
                <c:pt idx="0">
                  <c:v>Spr. 1.1</c:v>
                </c:pt>
                <c:pt idx="1">
                  <c:v>Spr. 1.2</c:v>
                </c:pt>
              </c:strCache>
            </c:strRef>
          </c:cat>
          <c:val>
            <c:numRef>
              <c:f>Main!$M$25:$M$29</c:f>
              <c:numCache>
                <c:formatCode>General</c:formatCode>
                <c:ptCount val="5"/>
                <c:pt idx="0">
                  <c:v>40</c:v>
                </c:pt>
                <c:pt idx="1">
                  <c:v>51</c:v>
                </c:pt>
              </c:numCache>
            </c:numRef>
          </c:val>
          <c:extLst>
            <c:ext xmlns:c16="http://schemas.microsoft.com/office/drawing/2014/chart" uri="{C3380CC4-5D6E-409C-BE32-E72D297353CC}">
              <c16:uniqueId val="{00000000-D2E4-486E-BA95-92D4F3DF289E}"/>
            </c:ext>
          </c:extLst>
        </c:ser>
        <c:ser>
          <c:idx val="1"/>
          <c:order val="1"/>
          <c:tx>
            <c:strRef>
              <c:f>Main!$N$24</c:f>
              <c:strCache>
                <c:ptCount val="1"/>
                <c:pt idx="0">
                  <c:v>Story Points (Delivered)</c:v>
                </c:pt>
              </c:strCache>
            </c:strRef>
          </c:tx>
          <c:spPr>
            <a:solidFill>
              <a:schemeClr val="accent2"/>
            </a:solidFill>
            <a:ln>
              <a:noFill/>
              <a:prstDash val="solid"/>
            </a:ln>
          </c:spPr>
          <c:invertIfNegative val="0"/>
          <c:cat>
            <c:strRef>
              <c:f>Main!$I$25:$I$29</c:f>
              <c:strCache>
                <c:ptCount val="2"/>
                <c:pt idx="0">
                  <c:v>Spr. 1.1</c:v>
                </c:pt>
                <c:pt idx="1">
                  <c:v>Spr. 1.2</c:v>
                </c:pt>
              </c:strCache>
            </c:strRef>
          </c:cat>
          <c:val>
            <c:numRef>
              <c:f>Main!$N$25:$N$29</c:f>
              <c:numCache>
                <c:formatCode>General</c:formatCode>
                <c:ptCount val="5"/>
                <c:pt idx="0">
                  <c:v>40</c:v>
                </c:pt>
                <c:pt idx="1">
                  <c:v>51</c:v>
                </c:pt>
              </c:numCache>
            </c:numRef>
          </c:val>
          <c:extLst>
            <c:ext xmlns:c16="http://schemas.microsoft.com/office/drawing/2014/chart" uri="{C3380CC4-5D6E-409C-BE32-E72D297353CC}">
              <c16:uniqueId val="{00000001-D2E4-486E-BA95-92D4F3DF289E}"/>
            </c:ext>
          </c:extLst>
        </c:ser>
        <c:dLbls>
          <c:showLegendKey val="0"/>
          <c:showVal val="0"/>
          <c:showCatName val="0"/>
          <c:showSerName val="0"/>
          <c:showPercent val="0"/>
          <c:showBubbleSize val="0"/>
        </c:dLbls>
        <c:gapWidth val="219"/>
        <c:overlap val="-27"/>
        <c:axId val="956085247"/>
        <c:axId val="656594239"/>
      </c:barChart>
      <c:catAx>
        <c:axId val="956085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656594239"/>
        <c:crosses val="autoZero"/>
        <c:auto val="1"/>
        <c:lblAlgn val="ctr"/>
        <c:lblOffset val="100"/>
        <c:noMultiLvlLbl val="0"/>
      </c:catAx>
      <c:valAx>
        <c:axId val="656594239"/>
        <c:scaling>
          <c:orientation val="minMax"/>
        </c:scaling>
        <c:delete val="0"/>
        <c:axPos val="l"/>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956085247"/>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strike="noStrike" kern="1200" spc="0" normalizeH="0" baseline="0">
                <a:solidFill>
                  <a:schemeClr val="dk1">
                    <a:lumMod val="50000"/>
                    <a:lumOff val="50000"/>
                  </a:schemeClr>
                </a:solidFill>
                <a:latin typeface="+mj-lt"/>
                <a:ea typeface="+mj-ea"/>
                <a:cs typeface="+mj-cs"/>
              </a:defRPr>
            </a:pPr>
            <a:r>
              <a:rPr lang="en-IN" sz="1200"/>
              <a:t>Burn Down Chart</a:t>
            </a:r>
          </a:p>
        </c:rich>
      </c:tx>
      <c:overlay val="0"/>
      <c:spPr>
        <a:noFill/>
        <a:ln>
          <a:noFill/>
          <a:prstDash val="solid"/>
        </a:ln>
      </c:spPr>
    </c:title>
    <c:autoTitleDeleted val="0"/>
    <c:plotArea>
      <c:layout/>
      <c:lineChart>
        <c:grouping val="standard"/>
        <c:varyColors val="0"/>
        <c:ser>
          <c:idx val="0"/>
          <c:order val="0"/>
          <c:spPr>
            <a:ln w="22225" cap="rnd">
              <a:solidFill>
                <a:schemeClr val="accent1"/>
              </a:solidFill>
              <a:prstDash val="solid"/>
              <a:round/>
            </a:ln>
          </c:spPr>
          <c:marker>
            <c:symbol val="none"/>
          </c:marker>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Tracker!$J$7:$S$7</c:f>
              <c:strCache>
                <c:ptCount val="10"/>
                <c:pt idx="0">
                  <c:v>Day 1</c:v>
                </c:pt>
                <c:pt idx="1">
                  <c:v>Day 2</c:v>
                </c:pt>
                <c:pt idx="2">
                  <c:v>Day 3</c:v>
                </c:pt>
                <c:pt idx="3">
                  <c:v>Day 4</c:v>
                </c:pt>
                <c:pt idx="4">
                  <c:v>Day 5</c:v>
                </c:pt>
                <c:pt idx="5">
                  <c:v>Day 6</c:v>
                </c:pt>
                <c:pt idx="6">
                  <c:v>Day 7</c:v>
                </c:pt>
                <c:pt idx="7">
                  <c:v>Day 8</c:v>
                </c:pt>
                <c:pt idx="8">
                  <c:v>Day 9</c:v>
                </c:pt>
                <c:pt idx="9">
                  <c:v>Day 10</c:v>
                </c:pt>
              </c:strCache>
            </c:strRef>
          </c:cat>
          <c:val>
            <c:numRef>
              <c:f>Tracker!$J$39:$S$39</c:f>
              <c:numCache>
                <c:formatCode>General</c:formatCode>
                <c:ptCount val="10"/>
                <c:pt idx="0">
                  <c:v>78</c:v>
                </c:pt>
                <c:pt idx="1">
                  <c:v>70</c:v>
                </c:pt>
                <c:pt idx="2">
                  <c:v>60</c:v>
                </c:pt>
                <c:pt idx="3">
                  <c:v>51</c:v>
                </c:pt>
                <c:pt idx="4">
                  <c:v>36</c:v>
                </c:pt>
                <c:pt idx="5">
                  <c:v>25</c:v>
                </c:pt>
                <c:pt idx="6">
                  <c:v>21</c:v>
                </c:pt>
                <c:pt idx="7">
                  <c:v>14</c:v>
                </c:pt>
                <c:pt idx="8">
                  <c:v>9</c:v>
                </c:pt>
                <c:pt idx="9">
                  <c:v>0</c:v>
                </c:pt>
              </c:numCache>
            </c:numRef>
          </c:val>
          <c:smooth val="0"/>
          <c:extLst>
            <c:ext xmlns:c16="http://schemas.microsoft.com/office/drawing/2014/chart" uri="{C3380CC4-5D6E-409C-BE32-E72D297353CC}">
              <c16:uniqueId val="{00000000-B49A-4A2D-91F3-A0D25EECFE49}"/>
            </c:ext>
          </c:extLst>
        </c:ser>
        <c:dLbls>
          <c:showLegendKey val="0"/>
          <c:showVal val="1"/>
          <c:showCatName val="0"/>
          <c:showSerName val="0"/>
          <c:showPercent val="0"/>
          <c:showBubbleSize val="0"/>
        </c:dLbls>
        <c:smooth val="0"/>
        <c:axId val="834654847"/>
        <c:axId val="958372751"/>
      </c:lineChart>
      <c:catAx>
        <c:axId val="834654847"/>
        <c:scaling>
          <c:orientation val="minMax"/>
        </c:scaling>
        <c:delete val="0"/>
        <c:axPos val="b"/>
        <c:majorGridlines>
          <c:spPr>
            <a:ln w="9525" cap="flat" cmpd="sng" algn="ctr">
              <a:solidFill>
                <a:schemeClr val="dk1">
                  <a:alpha val="54000"/>
                  <a:lumMod val="15000"/>
                  <a:lumOff val="85000"/>
                </a:schemeClr>
              </a:solidFill>
              <a:prstDash val="solid"/>
              <a:round/>
            </a:ln>
          </c:spPr>
        </c:majorGridlines>
        <c:minorGridlines>
          <c:spPr>
            <a:ln w="9525" cap="flat" cmpd="sng" algn="ctr">
              <a:solidFill>
                <a:schemeClr val="dk1">
                  <a:alpha val="51000"/>
                  <a:lumMod val="15000"/>
                  <a:lumOff val="85000"/>
                </a:schemeClr>
              </a:solidFill>
              <a:prstDash val="solid"/>
              <a:round/>
            </a:ln>
          </c:spPr>
        </c:minorGridlines>
        <c:numFmt formatCode="General" sourceLinked="1"/>
        <c:majorTickMark val="none"/>
        <c:minorTickMark val="none"/>
        <c:tickLblPos val="nextTo"/>
        <c:spPr>
          <a:noFill/>
          <a:ln w="9525" cap="flat" cmpd="sng" algn="ctr">
            <a:solidFill>
              <a:schemeClr val="dk1">
                <a:lumMod val="15000"/>
                <a:lumOff val="85000"/>
              </a:schemeClr>
            </a:solidFill>
            <a:prstDash val="solid"/>
            <a:round/>
          </a:ln>
        </c:spPr>
        <c:txPr>
          <a:bodyPr rot="-60000000" spcFirstLastPara="1" vertOverflow="ellipsis" vert="horz" wrap="square" anchor="ctr" anchorCtr="1"/>
          <a:lstStyle/>
          <a:p>
            <a:pPr>
              <a:defRPr sz="900" b="0" i="0" strike="noStrike" kern="1200" spc="0" normalizeH="0" baseline="0">
                <a:solidFill>
                  <a:schemeClr val="dk1">
                    <a:lumMod val="65000"/>
                    <a:lumOff val="35000"/>
                  </a:schemeClr>
                </a:solidFill>
                <a:latin typeface="+mn-lt"/>
                <a:ea typeface="+mn-ea"/>
                <a:cs typeface="+mn-cs"/>
              </a:defRPr>
            </a:pPr>
            <a:endParaRPr lang="en-US"/>
          </a:p>
        </c:txPr>
        <c:crossAx val="958372751"/>
        <c:crosses val="autoZero"/>
        <c:auto val="1"/>
        <c:lblAlgn val="ctr"/>
        <c:lblOffset val="100"/>
        <c:noMultiLvlLbl val="0"/>
      </c:catAx>
      <c:valAx>
        <c:axId val="958372751"/>
        <c:scaling>
          <c:orientation val="minMax"/>
        </c:scaling>
        <c:delete val="0"/>
        <c:axPos val="l"/>
        <c:majorGridlines>
          <c:spPr>
            <a:ln w="9525" cap="flat" cmpd="sng" algn="ctr">
              <a:solidFill>
                <a:schemeClr val="dk1">
                  <a:alpha val="54000"/>
                  <a:lumMod val="15000"/>
                  <a:lumOff val="8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dk1">
                    <a:lumMod val="65000"/>
                    <a:lumOff val="35000"/>
                  </a:schemeClr>
                </a:solidFill>
                <a:latin typeface="+mn-lt"/>
                <a:ea typeface="+mn-ea"/>
                <a:cs typeface="+mn-cs"/>
              </a:defRPr>
            </a:pPr>
            <a:endParaRPr lang="en-US"/>
          </a:p>
        </c:txPr>
        <c:crossAx val="834654847"/>
        <c:crosses val="autoZero"/>
        <c:crossBetween val="between"/>
      </c:valAx>
    </c:plotArea>
    <c:plotVisOnly val="1"/>
    <c:dispBlanksAs val="gap"/>
    <c:showDLblsOverMax val="0"/>
  </c:chart>
  <c:spPr>
    <a:solidFill>
      <a:schemeClr val="lt1"/>
    </a:solidFill>
    <a:ln w="9525" cap="flat" cmpd="sng" algn="ctr">
      <a:solidFill>
        <a:schemeClr val="dk1">
          <a:lumMod val="15000"/>
          <a:lumOff val="85000"/>
        </a:schemeClr>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strike="noStrike" kern="1200" spc="0" normalizeH="0" baseline="0">
                <a:solidFill>
                  <a:schemeClr val="dk1">
                    <a:lumMod val="50000"/>
                    <a:lumOff val="50000"/>
                  </a:schemeClr>
                </a:solidFill>
                <a:latin typeface="+mj-lt"/>
                <a:ea typeface="+mj-ea"/>
                <a:cs typeface="+mj-cs"/>
              </a:defRPr>
            </a:pPr>
            <a:r>
              <a:rPr lang="en-IN" sz="1200"/>
              <a:t>Burn Up Chart</a:t>
            </a:r>
          </a:p>
        </c:rich>
      </c:tx>
      <c:overlay val="0"/>
      <c:spPr>
        <a:noFill/>
        <a:ln>
          <a:noFill/>
          <a:prstDash val="solid"/>
        </a:ln>
      </c:spPr>
    </c:title>
    <c:autoTitleDeleted val="0"/>
    <c:plotArea>
      <c:layout/>
      <c:lineChart>
        <c:grouping val="standard"/>
        <c:varyColors val="0"/>
        <c:ser>
          <c:idx val="0"/>
          <c:order val="0"/>
          <c:spPr>
            <a:ln w="22225" cap="rnd">
              <a:solidFill>
                <a:schemeClr val="accent1"/>
              </a:solidFill>
              <a:prstDash val="solid"/>
              <a:round/>
            </a:ln>
          </c:spPr>
          <c:marker>
            <c:symbol val="none"/>
          </c:marker>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Tracker!$J$7:$S$7</c:f>
              <c:strCache>
                <c:ptCount val="10"/>
                <c:pt idx="0">
                  <c:v>Day 1</c:v>
                </c:pt>
                <c:pt idx="1">
                  <c:v>Day 2</c:v>
                </c:pt>
                <c:pt idx="2">
                  <c:v>Day 3</c:v>
                </c:pt>
                <c:pt idx="3">
                  <c:v>Day 4</c:v>
                </c:pt>
                <c:pt idx="4">
                  <c:v>Day 5</c:v>
                </c:pt>
                <c:pt idx="5">
                  <c:v>Day 6</c:v>
                </c:pt>
                <c:pt idx="6">
                  <c:v>Day 7</c:v>
                </c:pt>
                <c:pt idx="7">
                  <c:v>Day 8</c:v>
                </c:pt>
                <c:pt idx="8">
                  <c:v>Day 9</c:v>
                </c:pt>
                <c:pt idx="9">
                  <c:v>Day 10</c:v>
                </c:pt>
              </c:strCache>
            </c:strRef>
          </c:cat>
          <c:val>
            <c:numRef>
              <c:f>Tracker!$J$40:$S$40</c:f>
              <c:numCache>
                <c:formatCode>General</c:formatCode>
                <c:ptCount val="10"/>
                <c:pt idx="0">
                  <c:v>13</c:v>
                </c:pt>
                <c:pt idx="1">
                  <c:v>21</c:v>
                </c:pt>
                <c:pt idx="2">
                  <c:v>31</c:v>
                </c:pt>
                <c:pt idx="3">
                  <c:v>40</c:v>
                </c:pt>
                <c:pt idx="4">
                  <c:v>55</c:v>
                </c:pt>
                <c:pt idx="5">
                  <c:v>66</c:v>
                </c:pt>
                <c:pt idx="6">
                  <c:v>70</c:v>
                </c:pt>
                <c:pt idx="7">
                  <c:v>77</c:v>
                </c:pt>
                <c:pt idx="8">
                  <c:v>82</c:v>
                </c:pt>
                <c:pt idx="9">
                  <c:v>91</c:v>
                </c:pt>
              </c:numCache>
            </c:numRef>
          </c:val>
          <c:smooth val="0"/>
          <c:extLst>
            <c:ext xmlns:c16="http://schemas.microsoft.com/office/drawing/2014/chart" uri="{C3380CC4-5D6E-409C-BE32-E72D297353CC}">
              <c16:uniqueId val="{00000000-1067-40D0-86B9-B478AB33215E}"/>
            </c:ext>
          </c:extLst>
        </c:ser>
        <c:dLbls>
          <c:showLegendKey val="0"/>
          <c:showVal val="1"/>
          <c:showCatName val="0"/>
          <c:showSerName val="0"/>
          <c:showPercent val="0"/>
          <c:showBubbleSize val="0"/>
        </c:dLbls>
        <c:smooth val="0"/>
        <c:axId val="834654847"/>
        <c:axId val="958372751"/>
      </c:lineChart>
      <c:catAx>
        <c:axId val="834654847"/>
        <c:scaling>
          <c:orientation val="minMax"/>
        </c:scaling>
        <c:delete val="0"/>
        <c:axPos val="b"/>
        <c:majorGridlines>
          <c:spPr>
            <a:ln w="9525" cap="flat" cmpd="sng" algn="ctr">
              <a:solidFill>
                <a:schemeClr val="dk1">
                  <a:alpha val="54000"/>
                  <a:lumMod val="15000"/>
                  <a:lumOff val="85000"/>
                </a:schemeClr>
              </a:solidFill>
              <a:prstDash val="solid"/>
              <a:round/>
            </a:ln>
          </c:spPr>
        </c:majorGridlines>
        <c:minorGridlines>
          <c:spPr>
            <a:ln w="9525" cap="flat" cmpd="sng" algn="ctr">
              <a:solidFill>
                <a:schemeClr val="dk1">
                  <a:alpha val="51000"/>
                  <a:lumMod val="15000"/>
                  <a:lumOff val="85000"/>
                </a:schemeClr>
              </a:solidFill>
              <a:prstDash val="solid"/>
              <a:round/>
            </a:ln>
          </c:spPr>
        </c:minorGridlines>
        <c:numFmt formatCode="General" sourceLinked="1"/>
        <c:majorTickMark val="none"/>
        <c:minorTickMark val="none"/>
        <c:tickLblPos val="nextTo"/>
        <c:spPr>
          <a:noFill/>
          <a:ln w="9525" cap="flat" cmpd="sng" algn="ctr">
            <a:solidFill>
              <a:schemeClr val="dk1">
                <a:lumMod val="15000"/>
                <a:lumOff val="85000"/>
              </a:schemeClr>
            </a:solidFill>
            <a:prstDash val="solid"/>
            <a:round/>
          </a:ln>
        </c:spPr>
        <c:txPr>
          <a:bodyPr rot="-60000000" spcFirstLastPara="1" vertOverflow="ellipsis" vert="horz" wrap="square" anchor="ctr" anchorCtr="1"/>
          <a:lstStyle/>
          <a:p>
            <a:pPr>
              <a:defRPr sz="900" b="0" i="0" strike="noStrike" kern="1200" spc="0" normalizeH="0" baseline="0">
                <a:solidFill>
                  <a:schemeClr val="dk1">
                    <a:lumMod val="65000"/>
                    <a:lumOff val="35000"/>
                  </a:schemeClr>
                </a:solidFill>
                <a:latin typeface="+mn-lt"/>
                <a:ea typeface="+mn-ea"/>
                <a:cs typeface="+mn-cs"/>
              </a:defRPr>
            </a:pPr>
            <a:endParaRPr lang="en-US"/>
          </a:p>
        </c:txPr>
        <c:crossAx val="958372751"/>
        <c:crosses val="autoZero"/>
        <c:auto val="1"/>
        <c:lblAlgn val="ctr"/>
        <c:lblOffset val="100"/>
        <c:noMultiLvlLbl val="0"/>
      </c:catAx>
      <c:valAx>
        <c:axId val="958372751"/>
        <c:scaling>
          <c:orientation val="minMax"/>
        </c:scaling>
        <c:delete val="0"/>
        <c:axPos val="l"/>
        <c:majorGridlines>
          <c:spPr>
            <a:ln w="9525" cap="flat" cmpd="sng" algn="ctr">
              <a:solidFill>
                <a:schemeClr val="dk1">
                  <a:alpha val="54000"/>
                  <a:lumMod val="15000"/>
                  <a:lumOff val="8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dk1">
                    <a:lumMod val="65000"/>
                    <a:lumOff val="35000"/>
                  </a:schemeClr>
                </a:solidFill>
                <a:latin typeface="+mn-lt"/>
                <a:ea typeface="+mn-ea"/>
                <a:cs typeface="+mn-cs"/>
              </a:defRPr>
            </a:pPr>
            <a:endParaRPr lang="en-US"/>
          </a:p>
        </c:txPr>
        <c:crossAx val="834654847"/>
        <c:crosses val="autoZero"/>
        <c:crossBetween val="between"/>
      </c:valAx>
    </c:plotArea>
    <c:plotVisOnly val="1"/>
    <c:dispBlanksAs val="gap"/>
    <c:showDLblsOverMax val="0"/>
  </c:chart>
  <c:spPr>
    <a:solidFill>
      <a:schemeClr val="lt1"/>
    </a:solidFill>
    <a:ln w="9525" cap="flat" cmpd="sng" algn="ctr">
      <a:solidFill>
        <a:schemeClr val="dk1">
          <a:lumMod val="15000"/>
          <a:lumOff val="85000"/>
        </a:schemeClr>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14</xdr:col>
      <xdr:colOff>981074</xdr:colOff>
      <xdr:row>0</xdr:row>
      <xdr:rowOff>9525</xdr:rowOff>
    </xdr:from>
    <xdr:to>
      <xdr:col>14</xdr:col>
      <xdr:colOff>2019299</xdr:colOff>
      <xdr:row>6</xdr:row>
      <xdr:rowOff>38100</xdr:rowOff>
    </xdr:to>
    <xdr:pic>
      <xdr:nvPicPr>
        <xdr:cNvPr id="3" name="Picture 2" descr="Image result for techformist">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5773399" y="9525"/>
          <a:ext cx="1038225" cy="1038225"/>
        </a:xfrm>
        <a:prstGeom prst="rect">
          <a:avLst/>
        </a:prstGeom>
        <a:noFill/>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47623</xdr:colOff>
      <xdr:row>7</xdr:row>
      <xdr:rowOff>123824</xdr:rowOff>
    </xdr:from>
    <xdr:to>
      <xdr:col>9</xdr:col>
      <xdr:colOff>28574</xdr:colOff>
      <xdr:row>25</xdr:row>
      <xdr:rowOff>104775</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19049</xdr:colOff>
      <xdr:row>30</xdr:row>
      <xdr:rowOff>114299</xdr:rowOff>
    </xdr:from>
    <xdr:to>
      <xdr:col>8</xdr:col>
      <xdr:colOff>600074</xdr:colOff>
      <xdr:row>50</xdr:row>
      <xdr:rowOff>9524</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590549</xdr:colOff>
      <xdr:row>30</xdr:row>
      <xdr:rowOff>85724</xdr:rowOff>
    </xdr:from>
    <xdr:to>
      <xdr:col>17</xdr:col>
      <xdr:colOff>561974</xdr:colOff>
      <xdr:row>49</xdr:row>
      <xdr:rowOff>142874</xdr:rowOff>
    </xdr:to>
    <xdr:graphicFrame macro="">
      <xdr:nvGraphicFramePr>
        <xdr:cNvPr id="4" name="Chart 3">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scrumalliance.org/community/articles/2007/march/glossary-of-scrum-term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59999389629810485"/>
  </sheetPr>
  <dimension ref="B5:O41"/>
  <sheetViews>
    <sheetView showGridLines="0" topLeftCell="G21" zoomScale="115" zoomScaleNormal="59" workbookViewId="0">
      <selection activeCell="J26" sqref="J26"/>
    </sheetView>
  </sheetViews>
  <sheetFormatPr defaultRowHeight="12.75" customHeight="1" x14ac:dyDescent="0.2"/>
  <cols>
    <col min="1" max="1" width="5.140625" customWidth="1"/>
    <col min="2" max="2" width="14.5703125" customWidth="1"/>
    <col min="3" max="3" width="68.5703125" customWidth="1"/>
    <col min="4" max="4" width="15.5703125" customWidth="1"/>
    <col min="5" max="5" width="17.28515625" customWidth="1"/>
    <col min="6" max="6" width="26.42578125" customWidth="1"/>
    <col min="7" max="7" width="76.140625" customWidth="1"/>
    <col min="10" max="11" width="12.7109375" customWidth="1"/>
    <col min="12" max="12" width="13.7109375" customWidth="1"/>
    <col min="13" max="14" width="12.5703125" customWidth="1"/>
    <col min="15" max="15" width="165.85546875" customWidth="1"/>
  </cols>
  <sheetData>
    <row r="5" spans="2:6" ht="18.75" customHeight="1" x14ac:dyDescent="0.3">
      <c r="B5" s="2" t="s">
        <v>0</v>
      </c>
    </row>
    <row r="7" spans="2:6" ht="15" customHeight="1" x14ac:dyDescent="0.25">
      <c r="B7" s="5" t="s">
        <v>1</v>
      </c>
      <c r="C7" s="3" t="s">
        <v>2</v>
      </c>
      <c r="E7" s="5" t="s">
        <v>3</v>
      </c>
      <c r="F7" s="3" t="s">
        <v>4</v>
      </c>
    </row>
    <row r="8" spans="2:6" ht="15" customHeight="1" x14ac:dyDescent="0.25">
      <c r="B8" s="5" t="s">
        <v>5</v>
      </c>
      <c r="C8" s="3" t="s">
        <v>6</v>
      </c>
      <c r="E8" s="5" t="s">
        <v>7</v>
      </c>
      <c r="F8" s="3" t="s">
        <v>8</v>
      </c>
    </row>
    <row r="10" spans="2:6" ht="15" customHeight="1" x14ac:dyDescent="0.25">
      <c r="B10" s="6" t="s">
        <v>9</v>
      </c>
      <c r="C10" s="4" t="s">
        <v>10</v>
      </c>
      <c r="E10" s="4"/>
      <c r="F10" s="4"/>
    </row>
    <row r="11" spans="2:6" x14ac:dyDescent="0.2">
      <c r="B11" s="7" t="s">
        <v>11</v>
      </c>
      <c r="C11" s="8" t="s">
        <v>198</v>
      </c>
      <c r="D11" s="9"/>
      <c r="E11" s="7" t="s">
        <v>13</v>
      </c>
      <c r="F11" s="8" t="s">
        <v>8</v>
      </c>
    </row>
    <row r="12" spans="2:6" x14ac:dyDescent="0.2">
      <c r="B12" s="7" t="s">
        <v>14</v>
      </c>
      <c r="C12" s="8" t="s">
        <v>15</v>
      </c>
      <c r="D12" s="9"/>
      <c r="E12" s="7" t="s">
        <v>16</v>
      </c>
      <c r="F12" s="8" t="s">
        <v>17</v>
      </c>
    </row>
    <row r="13" spans="2:6" x14ac:dyDescent="0.2">
      <c r="B13" s="9"/>
      <c r="C13" s="8"/>
      <c r="D13" s="9"/>
      <c r="E13" s="7" t="s">
        <v>18</v>
      </c>
      <c r="F13" s="8" t="s">
        <v>19</v>
      </c>
    </row>
    <row r="14" spans="2:6" x14ac:dyDescent="0.2">
      <c r="B14" s="9"/>
      <c r="C14" s="8"/>
      <c r="D14" s="9"/>
      <c r="E14" s="9"/>
      <c r="F14" s="8"/>
    </row>
    <row r="15" spans="2:6" x14ac:dyDescent="0.2">
      <c r="B15" s="9"/>
      <c r="C15" s="8"/>
      <c r="D15" s="9"/>
      <c r="E15" s="9"/>
      <c r="F15" s="8"/>
    </row>
    <row r="16" spans="2:6" x14ac:dyDescent="0.2">
      <c r="B16" s="9"/>
      <c r="C16" s="8"/>
      <c r="D16" s="9"/>
      <c r="E16" s="9"/>
      <c r="F16" s="8"/>
    </row>
    <row r="17" spans="2:15" x14ac:dyDescent="0.2">
      <c r="B17" s="9"/>
      <c r="C17" s="8"/>
      <c r="D17" s="9"/>
      <c r="E17" s="9"/>
      <c r="F17" s="8"/>
    </row>
    <row r="18" spans="2:15" x14ac:dyDescent="0.2">
      <c r="B18" s="9"/>
      <c r="C18" s="8"/>
      <c r="D18" s="9"/>
      <c r="E18" s="9"/>
      <c r="F18" s="8"/>
    </row>
    <row r="22" spans="2:15" ht="15" customHeight="1" x14ac:dyDescent="0.25">
      <c r="B22" s="1"/>
    </row>
    <row r="23" spans="2:15" ht="15" customHeight="1" x14ac:dyDescent="0.25">
      <c r="B23" s="1" t="s">
        <v>20</v>
      </c>
      <c r="I23" s="1" t="s">
        <v>21</v>
      </c>
      <c r="K23" s="37" t="s">
        <v>22</v>
      </c>
    </row>
    <row r="24" spans="2:15" s="14" customFormat="1" ht="27" customHeight="1" x14ac:dyDescent="0.2">
      <c r="B24" s="18" t="s">
        <v>23</v>
      </c>
      <c r="C24" s="18" t="s">
        <v>24</v>
      </c>
      <c r="D24" s="18" t="s">
        <v>25</v>
      </c>
      <c r="E24" s="18" t="s">
        <v>26</v>
      </c>
      <c r="F24" s="18" t="s">
        <v>27</v>
      </c>
      <c r="G24" s="18" t="s">
        <v>28</v>
      </c>
      <c r="H24" s="19"/>
      <c r="I24" s="20" t="s">
        <v>29</v>
      </c>
      <c r="J24" s="20" t="s">
        <v>25</v>
      </c>
      <c r="K24" s="20" t="s">
        <v>26</v>
      </c>
      <c r="L24" s="20" t="s">
        <v>27</v>
      </c>
      <c r="M24" s="20" t="s">
        <v>30</v>
      </c>
      <c r="N24" s="20" t="s">
        <v>31</v>
      </c>
      <c r="O24" s="20" t="s">
        <v>28</v>
      </c>
    </row>
    <row r="25" spans="2:15" ht="40.35" customHeight="1" x14ac:dyDescent="0.2">
      <c r="B25" s="8">
        <v>1</v>
      </c>
      <c r="C25" s="8" t="s">
        <v>32</v>
      </c>
      <c r="D25" s="40">
        <v>46286</v>
      </c>
      <c r="E25" s="40">
        <v>46297</v>
      </c>
      <c r="F25" s="16" t="s">
        <v>192</v>
      </c>
      <c r="G25" s="43" t="s">
        <v>188</v>
      </c>
      <c r="I25" s="38" t="s">
        <v>194</v>
      </c>
      <c r="J25" s="15">
        <v>46286</v>
      </c>
      <c r="K25" s="49">
        <v>46289</v>
      </c>
      <c r="L25" s="39" t="s">
        <v>192</v>
      </c>
      <c r="M25" s="16">
        <v>40</v>
      </c>
      <c r="N25" s="16">
        <v>40</v>
      </c>
      <c r="O25" t="s">
        <v>195</v>
      </c>
    </row>
    <row r="26" spans="2:15" x14ac:dyDescent="0.2">
      <c r="B26" s="8"/>
      <c r="C26" s="8"/>
      <c r="D26" s="16"/>
      <c r="E26" s="16"/>
      <c r="F26" s="16"/>
      <c r="G26" s="17"/>
      <c r="I26" t="s">
        <v>196</v>
      </c>
      <c r="J26" s="15">
        <v>46290</v>
      </c>
      <c r="K26" s="15">
        <v>46297</v>
      </c>
      <c r="L26" s="10" t="s">
        <v>192</v>
      </c>
      <c r="M26" s="16">
        <v>51</v>
      </c>
      <c r="N26" s="16">
        <v>51</v>
      </c>
      <c r="O26" t="s">
        <v>197</v>
      </c>
    </row>
    <row r="27" spans="2:15" x14ac:dyDescent="0.2">
      <c r="B27" s="8"/>
      <c r="C27" s="8"/>
      <c r="D27" s="16"/>
      <c r="E27" s="16"/>
      <c r="F27" s="16"/>
      <c r="G27" s="17"/>
      <c r="I27" s="38"/>
      <c r="J27" s="15"/>
      <c r="K27" s="15"/>
      <c r="L27" s="10"/>
      <c r="M27" s="16"/>
      <c r="N27" s="16"/>
      <c r="O27" s="16"/>
    </row>
    <row r="28" spans="2:15" x14ac:dyDescent="0.2">
      <c r="B28" s="8"/>
      <c r="C28" s="8"/>
      <c r="D28" s="16"/>
      <c r="E28" s="16"/>
      <c r="F28" s="16"/>
      <c r="G28" s="17"/>
      <c r="I28" s="38"/>
      <c r="J28" s="15"/>
      <c r="K28" s="15"/>
      <c r="L28" s="10"/>
      <c r="M28" s="16"/>
      <c r="N28" s="16"/>
      <c r="O28" s="16"/>
    </row>
    <row r="29" spans="2:15" x14ac:dyDescent="0.2">
      <c r="B29" s="8"/>
      <c r="C29" s="8"/>
      <c r="D29" s="16"/>
      <c r="E29" s="16"/>
      <c r="F29" s="16"/>
      <c r="G29" s="17"/>
      <c r="I29" s="38"/>
      <c r="J29" s="15"/>
      <c r="K29" s="15"/>
      <c r="L29" s="10"/>
      <c r="M29" s="16"/>
      <c r="N29" s="16"/>
      <c r="O29" s="16"/>
    </row>
    <row r="30" spans="2:15" x14ac:dyDescent="0.2">
      <c r="B30" s="8"/>
      <c r="C30" s="8"/>
      <c r="D30" s="16"/>
      <c r="E30" s="16"/>
      <c r="F30" s="16"/>
      <c r="G30" s="17"/>
      <c r="I30" s="8"/>
      <c r="J30" s="15"/>
      <c r="K30" s="15"/>
      <c r="L30" s="16"/>
      <c r="M30" s="16"/>
      <c r="N30" s="16"/>
      <c r="O30" s="16"/>
    </row>
    <row r="31" spans="2:15" x14ac:dyDescent="0.2">
      <c r="B31" s="8"/>
      <c r="C31" s="8"/>
      <c r="D31" s="16"/>
      <c r="E31" s="16"/>
      <c r="F31" s="16"/>
      <c r="G31" s="17"/>
      <c r="I31" s="8"/>
      <c r="J31" s="15"/>
      <c r="K31" s="15"/>
      <c r="L31" s="16"/>
      <c r="M31" s="16"/>
      <c r="N31" s="16"/>
      <c r="O31" s="16"/>
    </row>
    <row r="32" spans="2:15" x14ac:dyDescent="0.2">
      <c r="B32" s="8"/>
      <c r="C32" s="8"/>
      <c r="D32" s="16"/>
      <c r="E32" s="16"/>
      <c r="F32" s="16"/>
      <c r="G32" s="17"/>
      <c r="I32" s="8"/>
      <c r="J32" s="15"/>
      <c r="K32" s="15"/>
      <c r="L32" s="16"/>
      <c r="M32" s="16"/>
      <c r="N32" s="16"/>
      <c r="O32" s="16"/>
    </row>
    <row r="33" spans="2:15" x14ac:dyDescent="0.2">
      <c r="B33" s="8"/>
      <c r="C33" s="8"/>
      <c r="D33" s="16"/>
      <c r="E33" s="16"/>
      <c r="F33" s="16"/>
      <c r="G33" s="17"/>
      <c r="I33" s="8"/>
      <c r="J33" s="15"/>
      <c r="K33" s="15"/>
      <c r="L33" s="16"/>
      <c r="M33" s="16"/>
      <c r="N33" s="16"/>
      <c r="O33" s="16"/>
    </row>
    <row r="34" spans="2:15" x14ac:dyDescent="0.2">
      <c r="B34" s="8"/>
      <c r="C34" s="8"/>
      <c r="D34" s="16"/>
      <c r="E34" s="16"/>
      <c r="F34" s="16"/>
      <c r="G34" s="17"/>
      <c r="I34" s="8"/>
      <c r="J34" s="15"/>
      <c r="K34" s="15"/>
      <c r="L34" s="16"/>
      <c r="M34" s="16"/>
      <c r="N34" s="16"/>
      <c r="O34" s="16"/>
    </row>
    <row r="35" spans="2:15" x14ac:dyDescent="0.2">
      <c r="B35" s="8"/>
      <c r="C35" s="8"/>
      <c r="D35" s="16"/>
      <c r="E35" s="16"/>
      <c r="F35" s="16"/>
      <c r="G35" s="17"/>
      <c r="I35" s="8"/>
      <c r="J35" s="15"/>
      <c r="K35" s="15"/>
      <c r="L35" s="16"/>
      <c r="M35" s="16"/>
      <c r="N35" s="16"/>
      <c r="O35" s="16"/>
    </row>
    <row r="36" spans="2:15" x14ac:dyDescent="0.2">
      <c r="B36" s="8"/>
      <c r="C36" s="8"/>
      <c r="D36" s="16"/>
      <c r="E36" s="16"/>
      <c r="F36" s="16"/>
      <c r="G36" s="17"/>
      <c r="I36" s="8"/>
      <c r="J36" s="15"/>
      <c r="K36" s="15"/>
      <c r="L36" s="16"/>
      <c r="M36" s="16"/>
      <c r="N36" s="16"/>
      <c r="O36" s="16"/>
    </row>
    <row r="37" spans="2:15" x14ac:dyDescent="0.2">
      <c r="B37" s="8"/>
      <c r="C37" s="8"/>
      <c r="D37" s="16"/>
      <c r="E37" s="16"/>
      <c r="F37" s="16"/>
      <c r="G37" s="17"/>
      <c r="I37" s="8"/>
      <c r="J37" s="15"/>
      <c r="K37" s="15"/>
      <c r="L37" s="16"/>
      <c r="M37" s="16"/>
      <c r="N37" s="16"/>
      <c r="O37" s="16"/>
    </row>
    <row r="38" spans="2:15" x14ac:dyDescent="0.2">
      <c r="B38" s="8"/>
      <c r="C38" s="8"/>
      <c r="D38" s="16"/>
      <c r="E38" s="16"/>
      <c r="F38" s="16"/>
      <c r="G38" s="17"/>
      <c r="I38" s="8"/>
      <c r="J38" s="15"/>
      <c r="K38" s="15"/>
      <c r="L38" s="16"/>
      <c r="M38" s="16"/>
      <c r="N38" s="16"/>
      <c r="O38" s="16"/>
    </row>
    <row r="39" spans="2:15" x14ac:dyDescent="0.2">
      <c r="B39" s="8"/>
      <c r="C39" s="8"/>
      <c r="D39" s="8"/>
      <c r="E39" s="8"/>
      <c r="F39" s="16"/>
      <c r="G39" s="17"/>
      <c r="I39" s="8"/>
      <c r="J39" s="15"/>
      <c r="K39" s="15"/>
      <c r="L39" s="16"/>
      <c r="M39" s="16"/>
      <c r="N39" s="16"/>
      <c r="O39" s="16"/>
    </row>
    <row r="40" spans="2:15" x14ac:dyDescent="0.2">
      <c r="B40" s="8"/>
      <c r="C40" s="8"/>
      <c r="D40" s="8"/>
      <c r="E40" s="8"/>
      <c r="F40" s="16"/>
      <c r="G40" s="17"/>
      <c r="I40" s="8"/>
      <c r="J40" s="15"/>
      <c r="K40" s="15"/>
      <c r="L40" s="16"/>
      <c r="M40" s="16"/>
      <c r="N40" s="16"/>
      <c r="O40" s="16"/>
    </row>
    <row r="41" spans="2:15" x14ac:dyDescent="0.2">
      <c r="G41" s="12"/>
    </row>
  </sheetData>
  <pageMargins left="0.7" right="0.7"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tint="0.39997558519241921"/>
  </sheetPr>
  <dimension ref="B5:R31"/>
  <sheetViews>
    <sheetView showGridLines="0" tabSelected="1" zoomScale="82" zoomScaleNormal="62" workbookViewId="0">
      <pane xSplit="5" topLeftCell="Y1" activePane="topRight" state="frozen"/>
      <selection activeCell="A8" sqref="A8"/>
      <selection pane="topRight" activeCell="B8" sqref="B8:B31"/>
    </sheetView>
  </sheetViews>
  <sheetFormatPr defaultRowHeight="12.75" x14ac:dyDescent="0.2"/>
  <cols>
    <col min="1" max="1" width="3.140625" customWidth="1"/>
    <col min="2" max="2" width="11.7109375" customWidth="1"/>
    <col min="3" max="3" width="31" customWidth="1"/>
    <col min="4" max="4" width="21.7109375" customWidth="1"/>
    <col min="5" max="7" width="33.85546875" style="21" customWidth="1"/>
    <col min="8" max="8" width="117.5703125" style="12" customWidth="1"/>
    <col min="9" max="10" width="11.28515625" customWidth="1"/>
    <col min="14" max="15" width="14.28515625" customWidth="1"/>
    <col min="16" max="16" width="32.42578125" customWidth="1"/>
    <col min="18" max="18" width="40.140625" customWidth="1"/>
    <col min="19" max="19" width="32.7109375" customWidth="1"/>
  </cols>
  <sheetData>
    <row r="5" spans="2:18" ht="18" customHeight="1" x14ac:dyDescent="0.3">
      <c r="B5" s="2" t="s">
        <v>33</v>
      </c>
    </row>
    <row r="7" spans="2:18" s="13" customFormat="1" ht="27.6" customHeight="1" x14ac:dyDescent="0.2">
      <c r="B7" s="46" t="s">
        <v>23</v>
      </c>
      <c r="C7" s="46" t="s">
        <v>34</v>
      </c>
      <c r="D7" s="46" t="s">
        <v>35</v>
      </c>
      <c r="E7" s="46" t="s">
        <v>36</v>
      </c>
      <c r="F7" s="46" t="s">
        <v>37</v>
      </c>
      <c r="G7" s="46" t="s">
        <v>38</v>
      </c>
      <c r="H7" s="46" t="s">
        <v>28</v>
      </c>
      <c r="I7" s="46" t="s">
        <v>39</v>
      </c>
      <c r="J7" s="46" t="s">
        <v>27</v>
      </c>
      <c r="K7" s="47" t="s">
        <v>40</v>
      </c>
      <c r="L7" s="47" t="s">
        <v>41</v>
      </c>
      <c r="M7" s="48" t="s">
        <v>42</v>
      </c>
      <c r="N7" s="48" t="s">
        <v>43</v>
      </c>
      <c r="O7" s="48" t="s">
        <v>44</v>
      </c>
      <c r="P7" s="48" t="s">
        <v>45</v>
      </c>
      <c r="Q7" s="48" t="s">
        <v>27</v>
      </c>
      <c r="R7" s="48" t="s">
        <v>28</v>
      </c>
    </row>
    <row r="8" spans="2:18" ht="346.35" customHeight="1" x14ac:dyDescent="0.2">
      <c r="B8" s="51">
        <v>13</v>
      </c>
      <c r="C8" s="42" t="s">
        <v>46</v>
      </c>
      <c r="D8" s="42" t="s">
        <v>47</v>
      </c>
      <c r="E8" s="41" t="s">
        <v>94</v>
      </c>
      <c r="F8" s="41" t="s">
        <v>95</v>
      </c>
      <c r="G8" s="41" t="s">
        <v>96</v>
      </c>
      <c r="H8" s="42" t="s">
        <v>97</v>
      </c>
      <c r="I8" s="41" t="s">
        <v>189</v>
      </c>
      <c r="J8" s="42" t="s">
        <v>192</v>
      </c>
      <c r="K8" s="42" t="s">
        <v>48</v>
      </c>
      <c r="L8" s="42" t="s">
        <v>49</v>
      </c>
      <c r="M8" s="42">
        <v>1</v>
      </c>
      <c r="N8" s="42">
        <v>13</v>
      </c>
      <c r="O8" s="42"/>
      <c r="P8" s="42" t="s">
        <v>50</v>
      </c>
      <c r="Q8" s="42" t="s">
        <v>192</v>
      </c>
      <c r="R8" s="42"/>
    </row>
    <row r="9" spans="2:18" ht="218.85" customHeight="1" x14ac:dyDescent="0.2">
      <c r="B9" s="51">
        <v>14</v>
      </c>
      <c r="C9" s="42" t="s">
        <v>46</v>
      </c>
      <c r="D9" s="42" t="s">
        <v>47</v>
      </c>
      <c r="E9" s="41" t="s">
        <v>98</v>
      </c>
      <c r="F9" s="41" t="s">
        <v>99</v>
      </c>
      <c r="G9" s="41" t="s">
        <v>100</v>
      </c>
      <c r="H9" s="42" t="s">
        <v>101</v>
      </c>
      <c r="I9" s="41" t="s">
        <v>189</v>
      </c>
      <c r="J9" s="42" t="s">
        <v>192</v>
      </c>
      <c r="K9" s="42" t="s">
        <v>48</v>
      </c>
      <c r="L9" s="42" t="s">
        <v>49</v>
      </c>
      <c r="M9" s="42">
        <v>1</v>
      </c>
      <c r="N9" s="42">
        <v>5</v>
      </c>
      <c r="O9" s="42"/>
      <c r="P9" s="42" t="s">
        <v>50</v>
      </c>
      <c r="Q9" s="42" t="s">
        <v>192</v>
      </c>
      <c r="R9" s="42"/>
    </row>
    <row r="10" spans="2:18" ht="308.10000000000002" customHeight="1" x14ac:dyDescent="0.2">
      <c r="B10" s="51">
        <v>15</v>
      </c>
      <c r="C10" s="42" t="s">
        <v>46</v>
      </c>
      <c r="D10" s="42" t="s">
        <v>47</v>
      </c>
      <c r="E10" s="41" t="s">
        <v>102</v>
      </c>
      <c r="F10" s="41" t="s">
        <v>103</v>
      </c>
      <c r="G10" s="41" t="s">
        <v>104</v>
      </c>
      <c r="H10" s="42" t="s">
        <v>105</v>
      </c>
      <c r="I10" s="41" t="s">
        <v>189</v>
      </c>
      <c r="J10" s="42" t="s">
        <v>192</v>
      </c>
      <c r="K10" s="42" t="s">
        <v>48</v>
      </c>
      <c r="L10" s="42" t="s">
        <v>49</v>
      </c>
      <c r="M10" s="42">
        <v>1</v>
      </c>
      <c r="N10" s="42">
        <v>3</v>
      </c>
      <c r="O10" s="42"/>
      <c r="P10" s="42" t="s">
        <v>12</v>
      </c>
      <c r="Q10" s="42" t="s">
        <v>192</v>
      </c>
      <c r="R10" s="42"/>
    </row>
    <row r="11" spans="2:18" ht="129.6" customHeight="1" x14ac:dyDescent="0.2">
      <c r="B11" s="51">
        <v>16</v>
      </c>
      <c r="C11" s="42" t="s">
        <v>46</v>
      </c>
      <c r="D11" s="42" t="s">
        <v>47</v>
      </c>
      <c r="E11" s="41" t="s">
        <v>106</v>
      </c>
      <c r="F11" s="41" t="s">
        <v>107</v>
      </c>
      <c r="G11" s="41" t="s">
        <v>108</v>
      </c>
      <c r="H11" s="42" t="s">
        <v>109</v>
      </c>
      <c r="I11" s="41" t="s">
        <v>189</v>
      </c>
      <c r="J11" s="42" t="s">
        <v>192</v>
      </c>
      <c r="K11" s="42" t="s">
        <v>48</v>
      </c>
      <c r="L11" s="42" t="s">
        <v>49</v>
      </c>
      <c r="M11" s="42">
        <v>1</v>
      </c>
      <c r="N11" s="42">
        <v>5</v>
      </c>
      <c r="O11" s="42"/>
      <c r="P11" s="42" t="s">
        <v>12</v>
      </c>
      <c r="Q11" s="42" t="s">
        <v>192</v>
      </c>
      <c r="R11" s="42"/>
    </row>
    <row r="12" spans="2:18" ht="359.1" customHeight="1" x14ac:dyDescent="0.2">
      <c r="B12" s="51">
        <v>17</v>
      </c>
      <c r="C12" s="42" t="s">
        <v>46</v>
      </c>
      <c r="D12" s="42" t="s">
        <v>47</v>
      </c>
      <c r="E12" s="41" t="s">
        <v>110</v>
      </c>
      <c r="F12" s="41" t="s">
        <v>111</v>
      </c>
      <c r="G12" s="41" t="s">
        <v>112</v>
      </c>
      <c r="H12" s="42" t="s">
        <v>113</v>
      </c>
      <c r="I12" s="41" t="s">
        <v>189</v>
      </c>
      <c r="J12" s="42" t="s">
        <v>192</v>
      </c>
      <c r="K12" s="42" t="s">
        <v>48</v>
      </c>
      <c r="L12" s="42" t="s">
        <v>49</v>
      </c>
      <c r="M12" s="42">
        <v>1</v>
      </c>
      <c r="N12" s="42">
        <v>5</v>
      </c>
      <c r="O12" s="42"/>
      <c r="P12" s="42" t="s">
        <v>12</v>
      </c>
      <c r="Q12" s="42" t="s">
        <v>192</v>
      </c>
      <c r="R12" s="42"/>
    </row>
    <row r="13" spans="2:18" ht="408.95" customHeight="1" x14ac:dyDescent="0.2">
      <c r="B13" s="51">
        <v>18</v>
      </c>
      <c r="C13" s="42" t="s">
        <v>46</v>
      </c>
      <c r="D13" s="42" t="s">
        <v>47</v>
      </c>
      <c r="E13" s="41" t="s">
        <v>114</v>
      </c>
      <c r="F13" s="41" t="s">
        <v>115</v>
      </c>
      <c r="G13" s="41" t="s">
        <v>116</v>
      </c>
      <c r="H13" s="42" t="s">
        <v>117</v>
      </c>
      <c r="I13" s="41" t="s">
        <v>189</v>
      </c>
      <c r="J13" s="42" t="s">
        <v>192</v>
      </c>
      <c r="K13" s="42" t="s">
        <v>48</v>
      </c>
      <c r="L13" s="42" t="s">
        <v>49</v>
      </c>
      <c r="M13" s="42">
        <v>1</v>
      </c>
      <c r="N13" s="42">
        <v>5</v>
      </c>
      <c r="O13" s="42"/>
      <c r="P13" s="42" t="s">
        <v>50</v>
      </c>
      <c r="Q13" s="42" t="s">
        <v>192</v>
      </c>
      <c r="R13" s="42"/>
    </row>
    <row r="14" spans="2:18" ht="206.1" customHeight="1" x14ac:dyDescent="0.2">
      <c r="B14" s="51">
        <v>19</v>
      </c>
      <c r="C14" s="42" t="s">
        <v>46</v>
      </c>
      <c r="D14" s="41" t="s">
        <v>118</v>
      </c>
      <c r="E14" s="41" t="s">
        <v>119</v>
      </c>
      <c r="F14" s="41" t="s">
        <v>120</v>
      </c>
      <c r="G14" s="41" t="s">
        <v>121</v>
      </c>
      <c r="H14" s="42" t="s">
        <v>122</v>
      </c>
      <c r="I14" s="41" t="s">
        <v>190</v>
      </c>
      <c r="J14" s="42" t="s">
        <v>192</v>
      </c>
      <c r="K14" s="42" t="s">
        <v>48</v>
      </c>
      <c r="L14" s="42" t="s">
        <v>49</v>
      </c>
      <c r="M14" s="42">
        <v>1</v>
      </c>
      <c r="N14" s="42">
        <v>2</v>
      </c>
      <c r="O14" s="42"/>
      <c r="P14" s="42" t="s">
        <v>50</v>
      </c>
      <c r="Q14" s="42" t="s">
        <v>192</v>
      </c>
      <c r="R14" s="42"/>
    </row>
    <row r="15" spans="2:18" ht="206.1" customHeight="1" x14ac:dyDescent="0.2">
      <c r="B15" s="51">
        <v>20</v>
      </c>
      <c r="C15" s="42" t="s">
        <v>46</v>
      </c>
      <c r="D15" s="42" t="s">
        <v>123</v>
      </c>
      <c r="E15" s="41" t="s">
        <v>119</v>
      </c>
      <c r="F15" s="41" t="s">
        <v>120</v>
      </c>
      <c r="G15" s="41" t="s">
        <v>124</v>
      </c>
      <c r="H15" s="42" t="s">
        <v>125</v>
      </c>
      <c r="I15" s="41" t="s">
        <v>190</v>
      </c>
      <c r="J15" s="42" t="s">
        <v>192</v>
      </c>
      <c r="K15" s="42" t="s">
        <v>48</v>
      </c>
      <c r="L15" s="42" t="s">
        <v>49</v>
      </c>
      <c r="M15" s="42">
        <v>1</v>
      </c>
      <c r="N15" s="42">
        <v>2</v>
      </c>
      <c r="O15" s="42"/>
      <c r="P15" s="42" t="s">
        <v>50</v>
      </c>
      <c r="Q15" s="42" t="s">
        <v>192</v>
      </c>
      <c r="R15" s="42"/>
    </row>
    <row r="16" spans="2:18" ht="408.95" customHeight="1" x14ac:dyDescent="0.2">
      <c r="B16" s="51">
        <v>23</v>
      </c>
      <c r="C16" s="42" t="s">
        <v>51</v>
      </c>
      <c r="D16" s="41" t="s">
        <v>118</v>
      </c>
      <c r="E16" s="41" t="s">
        <v>126</v>
      </c>
      <c r="F16" s="41" t="s">
        <v>127</v>
      </c>
      <c r="G16" s="41" t="s">
        <v>128</v>
      </c>
      <c r="H16" s="42" t="s">
        <v>129</v>
      </c>
      <c r="I16" s="41" t="s">
        <v>189</v>
      </c>
      <c r="J16" s="42" t="s">
        <v>192</v>
      </c>
      <c r="K16" s="42" t="s">
        <v>48</v>
      </c>
      <c r="L16" s="42" t="s">
        <v>49</v>
      </c>
      <c r="M16" s="42">
        <v>1</v>
      </c>
      <c r="N16" s="42">
        <v>8</v>
      </c>
      <c r="O16" s="42"/>
      <c r="P16" s="42" t="s">
        <v>50</v>
      </c>
      <c r="Q16" s="42" t="s">
        <v>192</v>
      </c>
      <c r="R16" s="42"/>
    </row>
    <row r="17" spans="2:18" ht="397.35" customHeight="1" x14ac:dyDescent="0.2">
      <c r="B17" s="51">
        <v>24</v>
      </c>
      <c r="C17" s="42" t="s">
        <v>51</v>
      </c>
      <c r="D17" s="42" t="s">
        <v>123</v>
      </c>
      <c r="E17" s="41" t="s">
        <v>126</v>
      </c>
      <c r="F17" s="41" t="s">
        <v>127</v>
      </c>
      <c r="G17" s="41" t="s">
        <v>130</v>
      </c>
      <c r="H17" s="42" t="s">
        <v>131</v>
      </c>
      <c r="I17" s="41" t="s">
        <v>189</v>
      </c>
      <c r="J17" s="42" t="s">
        <v>192</v>
      </c>
      <c r="K17" s="42" t="s">
        <v>48</v>
      </c>
      <c r="L17" s="42" t="s">
        <v>49</v>
      </c>
      <c r="M17" s="42">
        <v>1</v>
      </c>
      <c r="N17" s="42">
        <v>2</v>
      </c>
      <c r="O17" s="42"/>
      <c r="P17" s="42" t="s">
        <v>67</v>
      </c>
      <c r="Q17" s="42" t="s">
        <v>192</v>
      </c>
      <c r="R17" s="42"/>
    </row>
    <row r="18" spans="2:18" ht="397.35" customHeight="1" x14ac:dyDescent="0.2">
      <c r="B18" s="51">
        <v>25</v>
      </c>
      <c r="C18" s="42" t="s">
        <v>51</v>
      </c>
      <c r="D18" s="42" t="s">
        <v>132</v>
      </c>
      <c r="E18" s="41" t="s">
        <v>126</v>
      </c>
      <c r="F18" s="41" t="s">
        <v>127</v>
      </c>
      <c r="G18" s="41" t="s">
        <v>133</v>
      </c>
      <c r="H18" s="42" t="s">
        <v>134</v>
      </c>
      <c r="I18" s="41" t="s">
        <v>189</v>
      </c>
      <c r="J18" s="42" t="s">
        <v>192</v>
      </c>
      <c r="K18" s="42" t="s">
        <v>48</v>
      </c>
      <c r="L18" s="42" t="s">
        <v>49</v>
      </c>
      <c r="M18" s="42">
        <v>1</v>
      </c>
      <c r="N18" s="42">
        <v>2</v>
      </c>
      <c r="O18" s="42"/>
      <c r="P18" s="42" t="s">
        <v>67</v>
      </c>
      <c r="Q18" s="42" t="s">
        <v>192</v>
      </c>
      <c r="R18" s="42"/>
    </row>
    <row r="19" spans="2:18" ht="193.35" customHeight="1" x14ac:dyDescent="0.2">
      <c r="B19" s="51">
        <v>26</v>
      </c>
      <c r="C19" s="42" t="s">
        <v>51</v>
      </c>
      <c r="D19" s="41" t="s">
        <v>135</v>
      </c>
      <c r="E19" s="41" t="s">
        <v>136</v>
      </c>
      <c r="F19" s="41" t="s">
        <v>137</v>
      </c>
      <c r="G19" s="41" t="s">
        <v>138</v>
      </c>
      <c r="H19" s="42" t="s">
        <v>139</v>
      </c>
      <c r="I19" s="41" t="s">
        <v>189</v>
      </c>
      <c r="J19" s="42" t="s">
        <v>192</v>
      </c>
      <c r="K19" s="42" t="s">
        <v>48</v>
      </c>
      <c r="L19" s="42" t="s">
        <v>49</v>
      </c>
      <c r="M19" s="42">
        <v>1</v>
      </c>
      <c r="N19" s="42">
        <v>5</v>
      </c>
      <c r="O19" s="42"/>
      <c r="P19" s="42" t="s">
        <v>68</v>
      </c>
      <c r="Q19" s="42" t="s">
        <v>192</v>
      </c>
      <c r="R19" s="42"/>
    </row>
    <row r="20" spans="2:18" ht="193.35" customHeight="1" x14ac:dyDescent="0.2">
      <c r="B20" s="51">
        <v>27</v>
      </c>
      <c r="C20" s="42" t="s">
        <v>51</v>
      </c>
      <c r="D20" s="41" t="s">
        <v>135</v>
      </c>
      <c r="E20" s="41" t="s">
        <v>140</v>
      </c>
      <c r="F20" s="41" t="s">
        <v>141</v>
      </c>
      <c r="G20" s="41" t="s">
        <v>142</v>
      </c>
      <c r="H20" s="42" t="s">
        <v>143</v>
      </c>
      <c r="I20" s="41" t="s">
        <v>190</v>
      </c>
      <c r="J20" s="42" t="s">
        <v>192</v>
      </c>
      <c r="K20" s="42" t="s">
        <v>48</v>
      </c>
      <c r="L20" s="42" t="s">
        <v>49</v>
      </c>
      <c r="M20" s="42">
        <v>1</v>
      </c>
      <c r="N20" s="42">
        <v>2</v>
      </c>
      <c r="O20" s="42"/>
      <c r="P20" s="42" t="s">
        <v>68</v>
      </c>
      <c r="Q20" s="42" t="s">
        <v>192</v>
      </c>
      <c r="R20" s="45" t="s">
        <v>193</v>
      </c>
    </row>
    <row r="21" spans="2:18" ht="371.85" customHeight="1" x14ac:dyDescent="0.2">
      <c r="B21" s="51">
        <v>31</v>
      </c>
      <c r="C21" s="42" t="s">
        <v>51</v>
      </c>
      <c r="D21" s="41" t="s">
        <v>118</v>
      </c>
      <c r="E21" s="41" t="s">
        <v>144</v>
      </c>
      <c r="F21" s="41" t="s">
        <v>145</v>
      </c>
      <c r="G21" s="41" t="s">
        <v>146</v>
      </c>
      <c r="H21" s="42" t="s">
        <v>147</v>
      </c>
      <c r="I21" s="41" t="s">
        <v>189</v>
      </c>
      <c r="J21" s="42" t="s">
        <v>192</v>
      </c>
      <c r="K21" s="42" t="s">
        <v>48</v>
      </c>
      <c r="L21" s="42" t="s">
        <v>49</v>
      </c>
      <c r="M21" s="42">
        <v>1</v>
      </c>
      <c r="N21" s="42">
        <v>5</v>
      </c>
      <c r="O21" s="42"/>
      <c r="P21" s="42" t="s">
        <v>68</v>
      </c>
      <c r="Q21" s="42" t="s">
        <v>192</v>
      </c>
      <c r="R21" s="42"/>
    </row>
    <row r="22" spans="2:18" ht="244.35" customHeight="1" x14ac:dyDescent="0.2">
      <c r="B22" s="51">
        <v>32</v>
      </c>
      <c r="C22" s="42" t="s">
        <v>51</v>
      </c>
      <c r="D22" s="41" t="s">
        <v>118</v>
      </c>
      <c r="E22" s="41" t="s">
        <v>148</v>
      </c>
      <c r="F22" s="41" t="s">
        <v>149</v>
      </c>
      <c r="G22" s="41" t="s">
        <v>150</v>
      </c>
      <c r="H22" s="42" t="s">
        <v>151</v>
      </c>
      <c r="I22" s="41" t="s">
        <v>189</v>
      </c>
      <c r="J22" s="42" t="s">
        <v>192</v>
      </c>
      <c r="K22" s="42" t="s">
        <v>48</v>
      </c>
      <c r="L22" s="42" t="s">
        <v>49</v>
      </c>
      <c r="M22" s="42">
        <v>1</v>
      </c>
      <c r="N22" s="42">
        <v>3</v>
      </c>
      <c r="O22" s="42"/>
      <c r="P22" s="50" t="s">
        <v>68</v>
      </c>
      <c r="Q22" s="42" t="s">
        <v>192</v>
      </c>
      <c r="R22" s="42"/>
    </row>
    <row r="23" spans="2:18" ht="269.85000000000002" customHeight="1" x14ac:dyDescent="0.2">
      <c r="B23" s="51">
        <v>33</v>
      </c>
      <c r="C23" s="42" t="s">
        <v>51</v>
      </c>
      <c r="D23" s="42" t="s">
        <v>123</v>
      </c>
      <c r="E23" s="41" t="s">
        <v>152</v>
      </c>
      <c r="F23" s="41" t="s">
        <v>153</v>
      </c>
      <c r="G23" s="41" t="s">
        <v>154</v>
      </c>
      <c r="H23" s="42" t="s">
        <v>155</v>
      </c>
      <c r="I23" s="41" t="s">
        <v>189</v>
      </c>
      <c r="J23" s="42" t="s">
        <v>192</v>
      </c>
      <c r="K23" s="42" t="s">
        <v>48</v>
      </c>
      <c r="L23" s="42" t="s">
        <v>49</v>
      </c>
      <c r="M23" s="42">
        <v>1</v>
      </c>
      <c r="N23" s="42">
        <v>3</v>
      </c>
      <c r="O23" s="42"/>
      <c r="P23" s="42" t="s">
        <v>12</v>
      </c>
      <c r="Q23" s="42" t="s">
        <v>192</v>
      </c>
      <c r="R23" s="42"/>
    </row>
    <row r="24" spans="2:18" ht="231.6" customHeight="1" x14ac:dyDescent="0.2">
      <c r="B24" s="51">
        <v>34</v>
      </c>
      <c r="C24" s="42" t="s">
        <v>51</v>
      </c>
      <c r="D24" s="42" t="s">
        <v>123</v>
      </c>
      <c r="E24" s="41" t="s">
        <v>148</v>
      </c>
      <c r="F24" s="41" t="s">
        <v>156</v>
      </c>
      <c r="G24" s="41" t="s">
        <v>157</v>
      </c>
      <c r="H24" s="42" t="s">
        <v>151</v>
      </c>
      <c r="I24" s="41" t="s">
        <v>189</v>
      </c>
      <c r="J24" s="42" t="s">
        <v>192</v>
      </c>
      <c r="K24" s="42" t="s">
        <v>48</v>
      </c>
      <c r="L24" s="42" t="s">
        <v>49</v>
      </c>
      <c r="M24" s="42">
        <v>1</v>
      </c>
      <c r="N24" s="42">
        <v>2</v>
      </c>
      <c r="O24" s="42"/>
      <c r="P24" s="50" t="s">
        <v>68</v>
      </c>
      <c r="Q24" s="42" t="s">
        <v>192</v>
      </c>
      <c r="R24" s="42"/>
    </row>
    <row r="25" spans="2:18" ht="308.10000000000002" customHeight="1" x14ac:dyDescent="0.2">
      <c r="B25" s="51">
        <v>35</v>
      </c>
      <c r="C25" s="42" t="s">
        <v>51</v>
      </c>
      <c r="D25" s="42" t="s">
        <v>132</v>
      </c>
      <c r="E25" s="41" t="s">
        <v>158</v>
      </c>
      <c r="F25" s="41" t="s">
        <v>159</v>
      </c>
      <c r="G25" s="41" t="s">
        <v>160</v>
      </c>
      <c r="H25" s="42" t="s">
        <v>161</v>
      </c>
      <c r="I25" s="41" t="s">
        <v>189</v>
      </c>
      <c r="J25" s="42" t="s">
        <v>192</v>
      </c>
      <c r="K25" s="42" t="s">
        <v>48</v>
      </c>
      <c r="L25" s="42" t="s">
        <v>49</v>
      </c>
      <c r="M25" s="42">
        <v>1</v>
      </c>
      <c r="N25" s="42">
        <v>3</v>
      </c>
      <c r="O25" s="42"/>
      <c r="P25" s="50" t="s">
        <v>68</v>
      </c>
      <c r="Q25" s="42" t="s">
        <v>192</v>
      </c>
      <c r="R25" s="42"/>
    </row>
    <row r="26" spans="2:18" ht="231.6" customHeight="1" x14ac:dyDescent="0.2">
      <c r="B26" s="51">
        <v>36</v>
      </c>
      <c r="C26" s="42" t="s">
        <v>51</v>
      </c>
      <c r="D26" s="42" t="s">
        <v>132</v>
      </c>
      <c r="E26" s="41" t="s">
        <v>148</v>
      </c>
      <c r="F26" s="41" t="s">
        <v>162</v>
      </c>
      <c r="G26" s="41" t="s">
        <v>163</v>
      </c>
      <c r="H26" s="42" t="s">
        <v>151</v>
      </c>
      <c r="I26" s="41" t="s">
        <v>189</v>
      </c>
      <c r="J26" s="42" t="s">
        <v>192</v>
      </c>
      <c r="K26" s="42" t="s">
        <v>48</v>
      </c>
      <c r="L26" s="42" t="s">
        <v>49</v>
      </c>
      <c r="M26" s="42">
        <v>1</v>
      </c>
      <c r="N26" s="42">
        <v>2</v>
      </c>
      <c r="O26" s="42"/>
      <c r="P26" s="42" t="s">
        <v>12</v>
      </c>
      <c r="Q26" s="42" t="s">
        <v>192</v>
      </c>
      <c r="R26" s="42"/>
    </row>
    <row r="27" spans="2:18" ht="231.6" customHeight="1" x14ac:dyDescent="0.2">
      <c r="B27" s="51">
        <v>37</v>
      </c>
      <c r="C27" s="42" t="s">
        <v>51</v>
      </c>
      <c r="D27" s="41" t="s">
        <v>135</v>
      </c>
      <c r="E27" s="41" t="s">
        <v>164</v>
      </c>
      <c r="F27" s="41" t="s">
        <v>165</v>
      </c>
      <c r="G27" s="41" t="s">
        <v>166</v>
      </c>
      <c r="H27" s="42" t="s">
        <v>167</v>
      </c>
      <c r="I27" s="41" t="s">
        <v>189</v>
      </c>
      <c r="J27" s="42" t="s">
        <v>192</v>
      </c>
      <c r="K27" s="42" t="s">
        <v>48</v>
      </c>
      <c r="L27" s="42" t="s">
        <v>49</v>
      </c>
      <c r="M27" s="42">
        <v>1</v>
      </c>
      <c r="N27" s="42">
        <v>5</v>
      </c>
      <c r="O27" s="42"/>
      <c r="P27" s="42" t="s">
        <v>50</v>
      </c>
      <c r="Q27" s="42" t="s">
        <v>192</v>
      </c>
      <c r="R27" s="42"/>
    </row>
    <row r="28" spans="2:18" ht="78.599999999999994" customHeight="1" x14ac:dyDescent="0.2">
      <c r="B28" s="51">
        <v>38</v>
      </c>
      <c r="C28" s="42" t="s">
        <v>51</v>
      </c>
      <c r="D28" s="41" t="s">
        <v>135</v>
      </c>
      <c r="E28" s="41" t="s">
        <v>168</v>
      </c>
      <c r="F28" s="41" t="s">
        <v>169</v>
      </c>
      <c r="G28" s="41" t="s">
        <v>170</v>
      </c>
      <c r="H28" s="42" t="s">
        <v>171</v>
      </c>
      <c r="I28" s="41" t="s">
        <v>190</v>
      </c>
      <c r="J28" s="42" t="s">
        <v>192</v>
      </c>
      <c r="K28" s="42" t="s">
        <v>48</v>
      </c>
      <c r="L28" s="42" t="s">
        <v>49</v>
      </c>
      <c r="M28" s="42">
        <v>1</v>
      </c>
      <c r="N28" s="42">
        <v>3</v>
      </c>
      <c r="O28" s="42"/>
      <c r="P28" s="42" t="s">
        <v>50</v>
      </c>
      <c r="Q28" s="42" t="s">
        <v>192</v>
      </c>
      <c r="R28" s="42"/>
    </row>
    <row r="29" spans="2:18" ht="155.1" customHeight="1" x14ac:dyDescent="0.2">
      <c r="B29" s="51">
        <v>39</v>
      </c>
      <c r="C29" s="42" t="s">
        <v>51</v>
      </c>
      <c r="D29" s="41" t="s">
        <v>135</v>
      </c>
      <c r="E29" s="41" t="s">
        <v>172</v>
      </c>
      <c r="F29" s="41" t="s">
        <v>173</v>
      </c>
      <c r="G29" s="41" t="s">
        <v>174</v>
      </c>
      <c r="H29" s="42" t="s">
        <v>175</v>
      </c>
      <c r="I29" s="41" t="s">
        <v>190</v>
      </c>
      <c r="J29" s="42" t="s">
        <v>192</v>
      </c>
      <c r="K29" s="42" t="s">
        <v>48</v>
      </c>
      <c r="L29" s="42" t="s">
        <v>49</v>
      </c>
      <c r="M29" s="42">
        <v>1</v>
      </c>
      <c r="N29" s="42">
        <v>2</v>
      </c>
      <c r="O29" s="42"/>
      <c r="P29" s="50" t="s">
        <v>67</v>
      </c>
      <c r="Q29" s="42" t="s">
        <v>192</v>
      </c>
      <c r="R29" s="42"/>
    </row>
    <row r="30" spans="2:18" ht="129.6" customHeight="1" x14ac:dyDescent="0.2">
      <c r="B30" s="51">
        <v>40</v>
      </c>
      <c r="C30" s="42" t="s">
        <v>51</v>
      </c>
      <c r="D30" s="41" t="s">
        <v>135</v>
      </c>
      <c r="E30" s="41" t="s">
        <v>176</v>
      </c>
      <c r="F30" s="41" t="s">
        <v>177</v>
      </c>
      <c r="G30" s="41" t="s">
        <v>178</v>
      </c>
      <c r="H30" s="42" t="s">
        <v>179</v>
      </c>
      <c r="I30" s="41" t="s">
        <v>191</v>
      </c>
      <c r="J30" s="42" t="s">
        <v>192</v>
      </c>
      <c r="K30" s="42" t="s">
        <v>48</v>
      </c>
      <c r="L30" s="42" t="s">
        <v>49</v>
      </c>
      <c r="M30" s="42">
        <v>1</v>
      </c>
      <c r="N30" s="42">
        <v>2</v>
      </c>
      <c r="O30" s="42"/>
      <c r="P30" s="50" t="s">
        <v>68</v>
      </c>
      <c r="Q30" s="42" t="s">
        <v>192</v>
      </c>
      <c r="R30" s="42"/>
    </row>
    <row r="31" spans="2:18" ht="167.85" customHeight="1" x14ac:dyDescent="0.2">
      <c r="B31" s="51">
        <v>41</v>
      </c>
      <c r="C31" s="42" t="s">
        <v>51</v>
      </c>
      <c r="D31" s="42" t="s">
        <v>47</v>
      </c>
      <c r="E31" s="41" t="s">
        <v>180</v>
      </c>
      <c r="F31" s="41" t="s">
        <v>181</v>
      </c>
      <c r="G31" s="41" t="s">
        <v>182</v>
      </c>
      <c r="H31" s="42" t="s">
        <v>183</v>
      </c>
      <c r="I31" s="41" t="s">
        <v>190</v>
      </c>
      <c r="J31" s="42" t="s">
        <v>192</v>
      </c>
      <c r="K31" s="42" t="s">
        <v>48</v>
      </c>
      <c r="L31" s="42" t="s">
        <v>49</v>
      </c>
      <c r="M31" s="42">
        <v>1</v>
      </c>
      <c r="N31" s="42">
        <v>2</v>
      </c>
      <c r="O31" s="42"/>
      <c r="P31" s="42" t="s">
        <v>12</v>
      </c>
      <c r="Q31" s="42" t="s">
        <v>192</v>
      </c>
      <c r="R31" s="42"/>
    </row>
  </sheetData>
  <autoFilter ref="B7:R7"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7" tint="0.39997558519241921"/>
  </sheetPr>
  <dimension ref="B5:L44"/>
  <sheetViews>
    <sheetView showGridLines="0" topLeftCell="A2" workbookViewId="0">
      <selection activeCell="B6" sqref="B6"/>
    </sheetView>
  </sheetViews>
  <sheetFormatPr defaultRowHeight="12.75" x14ac:dyDescent="0.2"/>
  <cols>
    <col min="1" max="1" width="5.42578125" customWidth="1"/>
    <col min="2" max="2" width="9.140625" customWidth="1"/>
    <col min="3" max="3" width="22.42578125" customWidth="1"/>
    <col min="4" max="4" width="15" customWidth="1"/>
    <col min="5" max="5" width="13.28515625" customWidth="1"/>
    <col min="6" max="6" width="14" customWidth="1"/>
    <col min="7" max="7" width="19.85546875" customWidth="1"/>
    <col min="8" max="9" width="17.7109375" customWidth="1"/>
    <col min="10" max="10" width="49.28515625" customWidth="1"/>
    <col min="11" max="11" width="12.140625" customWidth="1"/>
    <col min="12" max="12" width="46.7109375" customWidth="1"/>
  </cols>
  <sheetData>
    <row r="5" spans="2:12" ht="18" customHeight="1" x14ac:dyDescent="0.3">
      <c r="B5" s="2" t="s">
        <v>72</v>
      </c>
    </row>
    <row r="6" spans="2:12" ht="18" customHeight="1" x14ac:dyDescent="0.3">
      <c r="B6" s="2"/>
    </row>
    <row r="7" spans="2:12" x14ac:dyDescent="0.2">
      <c r="B7" s="26" t="s">
        <v>23</v>
      </c>
      <c r="C7" s="26" t="s">
        <v>24</v>
      </c>
      <c r="D7" s="26" t="s">
        <v>73</v>
      </c>
      <c r="E7" s="26" t="s">
        <v>74</v>
      </c>
      <c r="F7" s="26" t="s">
        <v>75</v>
      </c>
      <c r="G7" s="26" t="s">
        <v>76</v>
      </c>
      <c r="H7" s="26" t="s">
        <v>45</v>
      </c>
      <c r="I7" s="26" t="s">
        <v>27</v>
      </c>
      <c r="J7" s="26" t="s">
        <v>77</v>
      </c>
      <c r="K7" s="26" t="s">
        <v>78</v>
      </c>
      <c r="L7" s="26" t="s">
        <v>28</v>
      </c>
    </row>
    <row r="8" spans="2:12" x14ac:dyDescent="0.2">
      <c r="B8" s="3"/>
      <c r="C8" s="3"/>
      <c r="D8" s="3"/>
      <c r="E8" s="3"/>
      <c r="F8" s="3"/>
      <c r="G8" s="3"/>
      <c r="H8" s="3"/>
      <c r="I8" s="3"/>
      <c r="J8" s="3"/>
      <c r="K8" s="3"/>
      <c r="L8" s="3"/>
    </row>
    <row r="9" spans="2:12" x14ac:dyDescent="0.2">
      <c r="B9" s="3"/>
      <c r="C9" s="3"/>
      <c r="D9" s="3"/>
      <c r="E9" s="3"/>
      <c r="F9" s="3"/>
      <c r="G9" s="3"/>
      <c r="H9" s="3"/>
      <c r="I9" s="3"/>
      <c r="J9" s="3"/>
      <c r="K9" s="3"/>
      <c r="L9" s="3"/>
    </row>
    <row r="10" spans="2:12" x14ac:dyDescent="0.2">
      <c r="B10" s="3"/>
      <c r="C10" s="3"/>
      <c r="D10" s="3"/>
      <c r="E10" s="3"/>
      <c r="F10" s="3"/>
      <c r="G10" s="3"/>
      <c r="H10" s="3"/>
      <c r="I10" s="3"/>
      <c r="J10" s="3"/>
      <c r="K10" s="3"/>
      <c r="L10" s="3"/>
    </row>
    <row r="11" spans="2:12" x14ac:dyDescent="0.2">
      <c r="B11" s="3"/>
      <c r="C11" s="3"/>
      <c r="D11" s="3"/>
      <c r="E11" s="3"/>
      <c r="F11" s="3"/>
      <c r="G11" s="3"/>
      <c r="H11" s="3"/>
      <c r="I11" s="3"/>
      <c r="J11" s="3"/>
      <c r="K11" s="3"/>
      <c r="L11" s="3"/>
    </row>
    <row r="12" spans="2:12" x14ac:dyDescent="0.2">
      <c r="B12" s="3"/>
      <c r="C12" s="3"/>
      <c r="D12" s="3"/>
      <c r="E12" s="3"/>
      <c r="F12" s="3"/>
      <c r="G12" s="3"/>
      <c r="H12" s="3"/>
      <c r="I12" s="3"/>
      <c r="J12" s="3"/>
      <c r="K12" s="3"/>
      <c r="L12" s="3"/>
    </row>
    <row r="13" spans="2:12" x14ac:dyDescent="0.2">
      <c r="B13" s="3"/>
      <c r="C13" s="3"/>
      <c r="D13" s="3"/>
      <c r="E13" s="3"/>
      <c r="F13" s="3"/>
      <c r="G13" s="3"/>
      <c r="H13" s="3"/>
      <c r="I13" s="3"/>
      <c r="J13" s="3"/>
      <c r="K13" s="3"/>
      <c r="L13" s="3"/>
    </row>
    <row r="14" spans="2:12" x14ac:dyDescent="0.2">
      <c r="B14" s="3"/>
      <c r="C14" s="3"/>
      <c r="D14" s="3"/>
      <c r="E14" s="3"/>
      <c r="F14" s="3"/>
      <c r="G14" s="3"/>
      <c r="H14" s="3"/>
      <c r="I14" s="3"/>
      <c r="J14" s="3"/>
      <c r="K14" s="3"/>
      <c r="L14" s="3"/>
    </row>
    <row r="15" spans="2:12" x14ac:dyDescent="0.2">
      <c r="B15" s="3"/>
      <c r="C15" s="3"/>
      <c r="D15" s="3"/>
      <c r="E15" s="3"/>
      <c r="F15" s="3"/>
      <c r="G15" s="3"/>
      <c r="H15" s="3"/>
      <c r="I15" s="3"/>
      <c r="J15" s="3"/>
      <c r="K15" s="3"/>
      <c r="L15" s="3"/>
    </row>
    <row r="16" spans="2:12" x14ac:dyDescent="0.2">
      <c r="B16" s="3"/>
      <c r="C16" s="3"/>
      <c r="D16" s="3"/>
      <c r="E16" s="3"/>
      <c r="F16" s="3"/>
      <c r="G16" s="3"/>
      <c r="H16" s="3"/>
      <c r="I16" s="3"/>
      <c r="J16" s="3"/>
      <c r="K16" s="3"/>
      <c r="L16" s="3"/>
    </row>
    <row r="17" spans="2:12" x14ac:dyDescent="0.2">
      <c r="B17" s="3"/>
      <c r="C17" s="3"/>
      <c r="D17" s="3"/>
      <c r="E17" s="3"/>
      <c r="F17" s="3"/>
      <c r="G17" s="3"/>
      <c r="H17" s="3"/>
      <c r="I17" s="3"/>
      <c r="J17" s="3"/>
      <c r="K17" s="3"/>
      <c r="L17" s="3"/>
    </row>
    <row r="18" spans="2:12" x14ac:dyDescent="0.2">
      <c r="B18" s="3"/>
      <c r="C18" s="3"/>
      <c r="D18" s="3"/>
      <c r="E18" s="3"/>
      <c r="F18" s="3"/>
      <c r="G18" s="3"/>
      <c r="H18" s="3"/>
      <c r="I18" s="3"/>
      <c r="J18" s="3"/>
      <c r="K18" s="3"/>
      <c r="L18" s="3"/>
    </row>
    <row r="19" spans="2:12" x14ac:dyDescent="0.2">
      <c r="B19" s="3"/>
      <c r="C19" s="3"/>
      <c r="D19" s="3"/>
      <c r="E19" s="3"/>
      <c r="F19" s="3"/>
      <c r="G19" s="3"/>
      <c r="H19" s="3"/>
      <c r="I19" s="3"/>
      <c r="J19" s="3"/>
      <c r="K19" s="3"/>
      <c r="L19" s="3"/>
    </row>
    <row r="20" spans="2:12" x14ac:dyDescent="0.2">
      <c r="B20" s="3"/>
      <c r="C20" s="3"/>
      <c r="D20" s="3"/>
      <c r="E20" s="3"/>
      <c r="F20" s="3"/>
      <c r="G20" s="3"/>
      <c r="H20" s="3"/>
      <c r="I20" s="3"/>
      <c r="J20" s="3"/>
      <c r="K20" s="3"/>
      <c r="L20" s="3"/>
    </row>
    <row r="21" spans="2:12" x14ac:dyDescent="0.2">
      <c r="B21" s="3"/>
      <c r="C21" s="3"/>
      <c r="D21" s="3"/>
      <c r="E21" s="3"/>
      <c r="F21" s="3"/>
      <c r="G21" s="3"/>
      <c r="H21" s="3"/>
      <c r="I21" s="3"/>
      <c r="J21" s="3"/>
      <c r="K21" s="3"/>
      <c r="L21" s="3"/>
    </row>
    <row r="22" spans="2:12" x14ac:dyDescent="0.2">
      <c r="B22" s="3"/>
      <c r="C22" s="3"/>
      <c r="D22" s="3"/>
      <c r="E22" s="3"/>
      <c r="F22" s="3"/>
      <c r="G22" s="3"/>
      <c r="H22" s="3"/>
      <c r="I22" s="3"/>
      <c r="J22" s="3"/>
      <c r="K22" s="3"/>
      <c r="L22" s="3"/>
    </row>
    <row r="23" spans="2:12" x14ac:dyDescent="0.2">
      <c r="B23" s="3"/>
      <c r="C23" s="3"/>
      <c r="D23" s="3"/>
      <c r="E23" s="3"/>
      <c r="F23" s="3"/>
      <c r="G23" s="3"/>
      <c r="H23" s="3"/>
      <c r="I23" s="3"/>
      <c r="J23" s="3"/>
      <c r="K23" s="3"/>
      <c r="L23" s="3"/>
    </row>
    <row r="24" spans="2:12" x14ac:dyDescent="0.2">
      <c r="B24" s="3"/>
      <c r="C24" s="3"/>
      <c r="D24" s="3"/>
      <c r="E24" s="3"/>
      <c r="F24" s="3"/>
      <c r="G24" s="3"/>
      <c r="H24" s="3"/>
      <c r="I24" s="3"/>
      <c r="J24" s="3"/>
      <c r="K24" s="3"/>
      <c r="L24" s="3"/>
    </row>
    <row r="25" spans="2:12" x14ac:dyDescent="0.2">
      <c r="B25" s="3"/>
      <c r="C25" s="3"/>
      <c r="D25" s="3"/>
      <c r="E25" s="3"/>
      <c r="F25" s="3"/>
      <c r="G25" s="3"/>
      <c r="H25" s="3"/>
      <c r="I25" s="3"/>
      <c r="J25" s="3"/>
      <c r="K25" s="3"/>
      <c r="L25" s="3"/>
    </row>
    <row r="26" spans="2:12" x14ac:dyDescent="0.2">
      <c r="B26" s="3"/>
      <c r="C26" s="3"/>
      <c r="D26" s="3"/>
      <c r="E26" s="3"/>
      <c r="F26" s="3"/>
      <c r="G26" s="3"/>
      <c r="H26" s="3"/>
      <c r="I26" s="3"/>
      <c r="J26" s="3"/>
      <c r="K26" s="3"/>
      <c r="L26" s="3"/>
    </row>
    <row r="27" spans="2:12" x14ac:dyDescent="0.2">
      <c r="B27" s="3"/>
      <c r="C27" s="3"/>
      <c r="D27" s="3"/>
      <c r="E27" s="3"/>
      <c r="F27" s="3"/>
      <c r="G27" s="3"/>
      <c r="H27" s="3"/>
      <c r="I27" s="3"/>
      <c r="J27" s="3"/>
      <c r="K27" s="3"/>
      <c r="L27" s="3"/>
    </row>
    <row r="28" spans="2:12" x14ac:dyDescent="0.2">
      <c r="B28" s="3"/>
      <c r="C28" s="3"/>
      <c r="D28" s="3"/>
      <c r="E28" s="3"/>
      <c r="F28" s="3"/>
      <c r="G28" s="3"/>
      <c r="H28" s="3"/>
      <c r="I28" s="3"/>
      <c r="J28" s="3"/>
      <c r="K28" s="3"/>
      <c r="L28" s="3"/>
    </row>
    <row r="29" spans="2:12" x14ac:dyDescent="0.2">
      <c r="B29" s="3"/>
      <c r="C29" s="3"/>
      <c r="D29" s="3"/>
      <c r="E29" s="3"/>
      <c r="F29" s="3"/>
      <c r="G29" s="3"/>
      <c r="H29" s="3"/>
      <c r="I29" s="3"/>
      <c r="J29" s="3"/>
      <c r="K29" s="3"/>
      <c r="L29" s="3"/>
    </row>
    <row r="30" spans="2:12" x14ac:dyDescent="0.2">
      <c r="B30" s="3"/>
      <c r="C30" s="3"/>
      <c r="D30" s="3"/>
      <c r="E30" s="3"/>
      <c r="F30" s="3"/>
      <c r="G30" s="3"/>
      <c r="H30" s="3"/>
      <c r="I30" s="3"/>
      <c r="J30" s="3"/>
      <c r="K30" s="3"/>
      <c r="L30" s="3"/>
    </row>
    <row r="31" spans="2:12" x14ac:dyDescent="0.2">
      <c r="B31" s="3"/>
      <c r="C31" s="3"/>
      <c r="D31" s="3"/>
      <c r="E31" s="3"/>
      <c r="F31" s="3"/>
      <c r="G31" s="3"/>
      <c r="H31" s="3"/>
      <c r="I31" s="3"/>
      <c r="J31" s="3"/>
      <c r="K31" s="3"/>
      <c r="L31" s="3"/>
    </row>
    <row r="32" spans="2:12" x14ac:dyDescent="0.2">
      <c r="B32" s="3"/>
      <c r="C32" s="3"/>
      <c r="D32" s="3"/>
      <c r="E32" s="3"/>
      <c r="F32" s="3"/>
      <c r="G32" s="3"/>
      <c r="H32" s="3"/>
      <c r="I32" s="3"/>
      <c r="J32" s="3"/>
      <c r="K32" s="3"/>
      <c r="L32" s="3"/>
    </row>
    <row r="33" spans="2:12" x14ac:dyDescent="0.2">
      <c r="B33" s="3"/>
      <c r="C33" s="3"/>
      <c r="D33" s="3"/>
      <c r="E33" s="3"/>
      <c r="F33" s="3"/>
      <c r="G33" s="3"/>
      <c r="H33" s="3"/>
      <c r="I33" s="3"/>
      <c r="J33" s="3"/>
      <c r="K33" s="3"/>
      <c r="L33" s="3"/>
    </row>
    <row r="34" spans="2:12" x14ac:dyDescent="0.2">
      <c r="B34" s="3"/>
      <c r="C34" s="3"/>
      <c r="D34" s="3"/>
      <c r="E34" s="3"/>
      <c r="F34" s="3"/>
      <c r="G34" s="3"/>
      <c r="H34" s="3"/>
      <c r="I34" s="3"/>
      <c r="J34" s="3"/>
      <c r="K34" s="3"/>
      <c r="L34" s="3"/>
    </row>
    <row r="35" spans="2:12" x14ac:dyDescent="0.2">
      <c r="B35" s="3"/>
      <c r="C35" s="3"/>
      <c r="D35" s="3"/>
      <c r="E35" s="3"/>
      <c r="F35" s="3"/>
      <c r="G35" s="3"/>
      <c r="H35" s="3"/>
      <c r="I35" s="3"/>
      <c r="J35" s="3"/>
      <c r="K35" s="3"/>
      <c r="L35" s="3"/>
    </row>
    <row r="36" spans="2:12" x14ac:dyDescent="0.2">
      <c r="B36" s="3"/>
      <c r="C36" s="3"/>
      <c r="D36" s="3"/>
      <c r="E36" s="3"/>
      <c r="F36" s="3"/>
      <c r="G36" s="3"/>
      <c r="H36" s="3"/>
      <c r="I36" s="3"/>
      <c r="J36" s="3"/>
      <c r="K36" s="3"/>
      <c r="L36" s="3"/>
    </row>
    <row r="37" spans="2:12" x14ac:dyDescent="0.2">
      <c r="B37" s="3"/>
      <c r="C37" s="3"/>
      <c r="D37" s="3"/>
      <c r="E37" s="3"/>
      <c r="F37" s="3"/>
      <c r="G37" s="3"/>
      <c r="H37" s="3"/>
      <c r="I37" s="3"/>
      <c r="J37" s="3"/>
      <c r="K37" s="3"/>
      <c r="L37" s="3"/>
    </row>
    <row r="38" spans="2:12" x14ac:dyDescent="0.2">
      <c r="B38" s="3"/>
      <c r="C38" s="3"/>
      <c r="D38" s="3"/>
      <c r="E38" s="3"/>
      <c r="F38" s="3"/>
      <c r="G38" s="3"/>
      <c r="H38" s="3"/>
      <c r="I38" s="3"/>
      <c r="J38" s="3"/>
      <c r="K38" s="3"/>
      <c r="L38" s="3"/>
    </row>
    <row r="39" spans="2:12" x14ac:dyDescent="0.2">
      <c r="B39" s="3"/>
      <c r="C39" s="3"/>
      <c r="D39" s="3"/>
      <c r="E39" s="3"/>
      <c r="F39" s="3"/>
      <c r="G39" s="3"/>
      <c r="H39" s="3"/>
      <c r="I39" s="3"/>
      <c r="J39" s="3"/>
      <c r="K39" s="3"/>
      <c r="L39" s="3"/>
    </row>
    <row r="40" spans="2:12" x14ac:dyDescent="0.2">
      <c r="B40" s="3"/>
      <c r="C40" s="3"/>
      <c r="D40" s="3"/>
      <c r="E40" s="3"/>
      <c r="F40" s="3"/>
      <c r="G40" s="3"/>
      <c r="H40" s="3"/>
      <c r="I40" s="3"/>
      <c r="J40" s="3"/>
      <c r="K40" s="3"/>
      <c r="L40" s="3"/>
    </row>
    <row r="41" spans="2:12" x14ac:dyDescent="0.2">
      <c r="B41" s="3"/>
      <c r="C41" s="3"/>
      <c r="D41" s="3"/>
      <c r="E41" s="3"/>
      <c r="F41" s="3"/>
      <c r="G41" s="3"/>
      <c r="H41" s="3"/>
      <c r="I41" s="3"/>
      <c r="J41" s="3"/>
      <c r="K41" s="3"/>
      <c r="L41" s="3"/>
    </row>
    <row r="42" spans="2:12" x14ac:dyDescent="0.2">
      <c r="B42" s="3"/>
      <c r="C42" s="3"/>
      <c r="D42" s="3"/>
      <c r="E42" s="3"/>
      <c r="F42" s="3"/>
      <c r="G42" s="3"/>
      <c r="H42" s="3"/>
      <c r="I42" s="3"/>
      <c r="J42" s="3"/>
      <c r="K42" s="3"/>
      <c r="L42" s="3"/>
    </row>
    <row r="43" spans="2:12" x14ac:dyDescent="0.2">
      <c r="B43" s="3"/>
      <c r="C43" s="3"/>
      <c r="D43" s="3"/>
      <c r="E43" s="3"/>
      <c r="F43" s="3"/>
      <c r="G43" s="3"/>
      <c r="H43" s="3"/>
      <c r="I43" s="3"/>
      <c r="J43" s="3"/>
      <c r="K43" s="3"/>
      <c r="L43" s="3"/>
    </row>
    <row r="44" spans="2:12" x14ac:dyDescent="0.2">
      <c r="B44" s="3"/>
      <c r="C44" s="3"/>
      <c r="D44" s="3"/>
      <c r="E44" s="3"/>
      <c r="F44" s="3"/>
      <c r="G44" s="3"/>
      <c r="H44" s="3"/>
      <c r="I44" s="3"/>
      <c r="J44" s="3"/>
      <c r="K44" s="3"/>
      <c r="L44" s="3"/>
    </row>
  </sheetData>
  <autoFilter ref="B7:L7" xr:uid="{00000000-0009-0000-0000-000003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5:K30"/>
  <sheetViews>
    <sheetView showGridLines="0" topLeftCell="A26" workbookViewId="0">
      <selection activeCell="P11" sqref="P11"/>
    </sheetView>
  </sheetViews>
  <sheetFormatPr defaultRowHeight="12.75" x14ac:dyDescent="0.2"/>
  <cols>
    <col min="1" max="1" width="5.7109375" customWidth="1"/>
  </cols>
  <sheetData>
    <row r="5" spans="2:2" ht="18" customHeight="1" x14ac:dyDescent="0.3">
      <c r="B5" s="2" t="s">
        <v>84</v>
      </c>
    </row>
    <row r="7" spans="2:2" x14ac:dyDescent="0.2">
      <c r="B7" s="28" t="s">
        <v>85</v>
      </c>
    </row>
    <row r="30" spans="2:11" x14ac:dyDescent="0.2">
      <c r="B30" s="28" t="s">
        <v>86</v>
      </c>
      <c r="K30" s="28" t="s">
        <v>87</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39997558519241921"/>
  </sheetPr>
  <dimension ref="B5:H36"/>
  <sheetViews>
    <sheetView showGridLines="0" workbookViewId="0">
      <selection activeCell="E4" sqref="E4"/>
    </sheetView>
  </sheetViews>
  <sheetFormatPr defaultRowHeight="12.75" x14ac:dyDescent="0.2"/>
  <cols>
    <col min="3" max="3" width="13.42578125" customWidth="1"/>
    <col min="4" max="4" width="14" customWidth="1"/>
    <col min="5" max="8" width="54.42578125" customWidth="1"/>
  </cols>
  <sheetData>
    <row r="5" spans="2:8" ht="18" customHeight="1" x14ac:dyDescent="0.3">
      <c r="B5" s="2" t="s">
        <v>79</v>
      </c>
    </row>
    <row r="6" spans="2:8" ht="18" customHeight="1" x14ac:dyDescent="0.3">
      <c r="B6" s="2"/>
    </row>
    <row r="7" spans="2:8" x14ac:dyDescent="0.2">
      <c r="B7" s="26" t="s">
        <v>75</v>
      </c>
      <c r="C7" s="26" t="s">
        <v>80</v>
      </c>
      <c r="D7" s="26" t="s">
        <v>45</v>
      </c>
      <c r="E7" s="26" t="s">
        <v>81</v>
      </c>
      <c r="F7" s="26" t="s">
        <v>82</v>
      </c>
      <c r="G7" s="26" t="s">
        <v>83</v>
      </c>
      <c r="H7" s="26" t="s">
        <v>28</v>
      </c>
    </row>
    <row r="8" spans="2:8" ht="25.5" customHeight="1" x14ac:dyDescent="0.2">
      <c r="B8" s="3">
        <v>1</v>
      </c>
      <c r="C8" s="25"/>
      <c r="D8" s="25"/>
      <c r="E8" s="3"/>
      <c r="F8" s="3"/>
      <c r="G8" s="3"/>
      <c r="H8" s="3"/>
    </row>
    <row r="9" spans="2:8" x14ac:dyDescent="0.2">
      <c r="B9" s="3"/>
      <c r="C9" s="3"/>
      <c r="D9" s="3"/>
      <c r="E9" s="3"/>
      <c r="F9" s="3"/>
      <c r="G9" s="3"/>
      <c r="H9" s="3"/>
    </row>
    <row r="10" spans="2:8" x14ac:dyDescent="0.2">
      <c r="B10" s="3"/>
      <c r="C10" s="3"/>
      <c r="D10" s="3"/>
      <c r="E10" s="3"/>
      <c r="F10" s="3"/>
      <c r="G10" s="3"/>
      <c r="H10" s="3"/>
    </row>
    <row r="11" spans="2:8" x14ac:dyDescent="0.2">
      <c r="B11" s="3"/>
      <c r="C11" s="3"/>
      <c r="D11" s="3"/>
      <c r="E11" s="3"/>
      <c r="F11" s="3"/>
      <c r="G11" s="3"/>
      <c r="H11" s="3"/>
    </row>
    <row r="12" spans="2:8" x14ac:dyDescent="0.2">
      <c r="B12" s="3"/>
      <c r="C12" s="3"/>
      <c r="D12" s="3"/>
      <c r="E12" s="3"/>
      <c r="F12" s="3"/>
      <c r="G12" s="3"/>
      <c r="H12" s="3"/>
    </row>
    <row r="13" spans="2:8" x14ac:dyDescent="0.2">
      <c r="B13" s="3"/>
      <c r="C13" s="3"/>
      <c r="D13" s="3"/>
      <c r="E13" s="3"/>
      <c r="F13" s="3"/>
      <c r="G13" s="3"/>
      <c r="H13" s="3"/>
    </row>
    <row r="14" spans="2:8" x14ac:dyDescent="0.2">
      <c r="B14" s="3"/>
      <c r="C14" s="3"/>
      <c r="D14" s="3"/>
      <c r="E14" s="3"/>
      <c r="F14" s="3"/>
      <c r="G14" s="3"/>
      <c r="H14" s="3"/>
    </row>
    <row r="15" spans="2:8" x14ac:dyDescent="0.2">
      <c r="B15" s="3"/>
      <c r="C15" s="3"/>
      <c r="D15" s="3"/>
      <c r="E15" s="3"/>
      <c r="F15" s="3"/>
      <c r="G15" s="3"/>
      <c r="H15" s="3"/>
    </row>
    <row r="16" spans="2:8" x14ac:dyDescent="0.2">
      <c r="B16" s="3"/>
      <c r="C16" s="3"/>
      <c r="D16" s="3"/>
      <c r="E16" s="3"/>
      <c r="F16" s="3"/>
      <c r="G16" s="3"/>
      <c r="H16" s="3"/>
    </row>
    <row r="17" spans="2:8" x14ac:dyDescent="0.2">
      <c r="B17" s="3"/>
      <c r="C17" s="3"/>
      <c r="D17" s="3"/>
      <c r="E17" s="3"/>
      <c r="F17" s="3"/>
      <c r="G17" s="3"/>
      <c r="H17" s="3"/>
    </row>
    <row r="18" spans="2:8" x14ac:dyDescent="0.2">
      <c r="B18" s="3"/>
      <c r="C18" s="3"/>
      <c r="D18" s="3"/>
      <c r="E18" s="3"/>
      <c r="F18" s="3"/>
      <c r="G18" s="3"/>
      <c r="H18" s="3"/>
    </row>
    <row r="19" spans="2:8" x14ac:dyDescent="0.2">
      <c r="B19" s="3"/>
      <c r="C19" s="3"/>
      <c r="D19" s="3"/>
      <c r="E19" s="3"/>
      <c r="F19" s="3"/>
      <c r="G19" s="3"/>
      <c r="H19" s="3"/>
    </row>
    <row r="20" spans="2:8" x14ac:dyDescent="0.2">
      <c r="B20" s="3"/>
      <c r="C20" s="3"/>
      <c r="D20" s="3"/>
      <c r="E20" s="3"/>
      <c r="F20" s="3"/>
      <c r="G20" s="3"/>
      <c r="H20" s="3"/>
    </row>
    <row r="21" spans="2:8" x14ac:dyDescent="0.2">
      <c r="B21" s="3"/>
      <c r="C21" s="3"/>
      <c r="D21" s="3"/>
      <c r="E21" s="3"/>
      <c r="F21" s="3"/>
      <c r="G21" s="3"/>
      <c r="H21" s="3"/>
    </row>
    <row r="22" spans="2:8" x14ac:dyDescent="0.2">
      <c r="B22" s="3"/>
      <c r="C22" s="3"/>
      <c r="D22" s="3"/>
      <c r="E22" s="3"/>
      <c r="F22" s="3"/>
      <c r="G22" s="3"/>
      <c r="H22" s="3"/>
    </row>
    <row r="23" spans="2:8" x14ac:dyDescent="0.2">
      <c r="B23" s="3"/>
      <c r="C23" s="3"/>
      <c r="D23" s="3"/>
      <c r="E23" s="3"/>
      <c r="F23" s="3"/>
      <c r="G23" s="3"/>
      <c r="H23" s="3"/>
    </row>
    <row r="24" spans="2:8" x14ac:dyDescent="0.2">
      <c r="B24" s="3"/>
      <c r="C24" s="3"/>
      <c r="D24" s="3"/>
      <c r="E24" s="3"/>
      <c r="F24" s="3"/>
      <c r="G24" s="3"/>
      <c r="H24" s="3"/>
    </row>
    <row r="25" spans="2:8" x14ac:dyDescent="0.2">
      <c r="B25" s="3"/>
      <c r="C25" s="3"/>
      <c r="D25" s="3"/>
      <c r="E25" s="3"/>
      <c r="F25" s="3"/>
      <c r="G25" s="3"/>
      <c r="H25" s="3"/>
    </row>
    <row r="26" spans="2:8" x14ac:dyDescent="0.2">
      <c r="B26" s="3"/>
      <c r="C26" s="3"/>
      <c r="D26" s="3"/>
      <c r="E26" s="3"/>
      <c r="F26" s="3"/>
      <c r="G26" s="3"/>
      <c r="H26" s="3"/>
    </row>
    <row r="27" spans="2:8" x14ac:dyDescent="0.2">
      <c r="B27" s="3"/>
      <c r="C27" s="3"/>
      <c r="D27" s="3"/>
      <c r="E27" s="3"/>
      <c r="F27" s="3"/>
      <c r="G27" s="3"/>
      <c r="H27" s="3"/>
    </row>
    <row r="28" spans="2:8" x14ac:dyDescent="0.2">
      <c r="B28" s="3"/>
      <c r="C28" s="3"/>
      <c r="D28" s="3"/>
      <c r="E28" s="3"/>
      <c r="F28" s="3"/>
      <c r="G28" s="3"/>
      <c r="H28" s="3"/>
    </row>
    <row r="29" spans="2:8" x14ac:dyDescent="0.2">
      <c r="B29" s="3"/>
      <c r="C29" s="3"/>
      <c r="D29" s="3"/>
      <c r="E29" s="3"/>
      <c r="F29" s="3"/>
      <c r="G29" s="3"/>
      <c r="H29" s="3"/>
    </row>
    <row r="30" spans="2:8" x14ac:dyDescent="0.2">
      <c r="B30" s="3"/>
      <c r="C30" s="3"/>
      <c r="D30" s="3"/>
      <c r="E30" s="3"/>
      <c r="F30" s="3"/>
      <c r="G30" s="3"/>
      <c r="H30" s="3"/>
    </row>
    <row r="31" spans="2:8" x14ac:dyDescent="0.2">
      <c r="B31" s="3"/>
      <c r="C31" s="3"/>
      <c r="D31" s="3"/>
      <c r="E31" s="3"/>
      <c r="F31" s="3"/>
      <c r="G31" s="3"/>
      <c r="H31" s="3"/>
    </row>
    <row r="32" spans="2:8" x14ac:dyDescent="0.2">
      <c r="B32" s="3"/>
      <c r="C32" s="3"/>
      <c r="D32" s="3"/>
      <c r="E32" s="3"/>
      <c r="F32" s="3"/>
      <c r="G32" s="3"/>
      <c r="H32" s="3"/>
    </row>
    <row r="33" spans="2:8" x14ac:dyDescent="0.2">
      <c r="B33" s="3"/>
      <c r="C33" s="3"/>
      <c r="D33" s="3"/>
      <c r="E33" s="3"/>
      <c r="F33" s="3"/>
      <c r="G33" s="3"/>
      <c r="H33" s="3"/>
    </row>
    <row r="34" spans="2:8" x14ac:dyDescent="0.2">
      <c r="B34" s="3"/>
      <c r="C34" s="3"/>
      <c r="D34" s="3"/>
      <c r="E34" s="3"/>
      <c r="F34" s="3"/>
      <c r="G34" s="3"/>
      <c r="H34" s="3"/>
    </row>
    <row r="35" spans="2:8" x14ac:dyDescent="0.2">
      <c r="B35" s="3"/>
      <c r="C35" s="3"/>
      <c r="D35" s="3"/>
      <c r="E35" s="3"/>
      <c r="F35" s="3"/>
      <c r="G35" s="3"/>
      <c r="H35" s="3"/>
    </row>
    <row r="36" spans="2:8" x14ac:dyDescent="0.2">
      <c r="B36" s="3"/>
      <c r="C36" s="3"/>
      <c r="D36" s="3"/>
      <c r="E36" s="3"/>
      <c r="F36" s="3"/>
      <c r="G36" s="3"/>
      <c r="H36" s="3"/>
    </row>
  </sheetData>
  <autoFilter ref="B7:H7" xr:uid="{00000000-0009-0000-0000-000004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5:F32"/>
  <sheetViews>
    <sheetView showGridLines="0" workbookViewId="0">
      <selection activeCell="F11" sqref="F11"/>
    </sheetView>
  </sheetViews>
  <sheetFormatPr defaultRowHeight="12.75" x14ac:dyDescent="0.2"/>
  <cols>
    <col min="1" max="1" width="4.7109375" customWidth="1"/>
    <col min="2" max="2" width="21.7109375" customWidth="1"/>
    <col min="3" max="3" width="54" customWidth="1"/>
    <col min="5" max="5" width="34.5703125" customWidth="1"/>
    <col min="6" max="6" width="53.28515625" customWidth="1"/>
  </cols>
  <sheetData>
    <row r="5" spans="2:6" ht="18" customHeight="1" x14ac:dyDescent="0.3">
      <c r="B5" s="2" t="s">
        <v>88</v>
      </c>
    </row>
    <row r="7" spans="2:6" ht="14.45" customHeight="1" x14ac:dyDescent="0.25">
      <c r="B7" s="1" t="s">
        <v>89</v>
      </c>
      <c r="E7" s="1" t="s">
        <v>90</v>
      </c>
    </row>
    <row r="8" spans="2:6" x14ac:dyDescent="0.2">
      <c r="B8" s="22" t="s">
        <v>24</v>
      </c>
      <c r="C8" s="22" t="s">
        <v>91</v>
      </c>
      <c r="E8" s="22" t="s">
        <v>24</v>
      </c>
      <c r="F8" s="22" t="s">
        <v>91</v>
      </c>
    </row>
    <row r="9" spans="2:6" ht="27.6" customHeight="1" x14ac:dyDescent="0.2">
      <c r="B9" s="23" t="s">
        <v>92</v>
      </c>
      <c r="C9" s="24" t="s">
        <v>93</v>
      </c>
      <c r="E9" s="23" t="s">
        <v>184</v>
      </c>
      <c r="F9" s="24" t="s">
        <v>185</v>
      </c>
    </row>
    <row r="10" spans="2:6" ht="27.6" customHeight="1" x14ac:dyDescent="0.2">
      <c r="B10" s="23"/>
      <c r="C10" s="23"/>
      <c r="E10" s="23" t="s">
        <v>186</v>
      </c>
      <c r="F10" s="23"/>
    </row>
    <row r="11" spans="2:6" ht="27.6" customHeight="1" x14ac:dyDescent="0.2">
      <c r="B11" s="23"/>
      <c r="C11" s="23"/>
      <c r="E11" s="23" t="s">
        <v>187</v>
      </c>
      <c r="F11" s="23"/>
    </row>
    <row r="12" spans="2:6" x14ac:dyDescent="0.2">
      <c r="B12" s="23"/>
      <c r="C12" s="23"/>
      <c r="E12" s="23"/>
      <c r="F12" s="23"/>
    </row>
    <row r="13" spans="2:6" x14ac:dyDescent="0.2">
      <c r="B13" s="23"/>
      <c r="C13" s="23"/>
      <c r="E13" s="23"/>
      <c r="F13" s="23"/>
    </row>
    <row r="14" spans="2:6" x14ac:dyDescent="0.2">
      <c r="B14" s="23"/>
      <c r="C14" s="23"/>
      <c r="E14" s="23"/>
      <c r="F14" s="23"/>
    </row>
    <row r="15" spans="2:6" x14ac:dyDescent="0.2">
      <c r="B15" s="23"/>
      <c r="C15" s="23"/>
      <c r="E15" s="23"/>
      <c r="F15" s="23"/>
    </row>
    <row r="16" spans="2:6" x14ac:dyDescent="0.2">
      <c r="B16" s="23"/>
      <c r="C16" s="23"/>
      <c r="E16" s="23"/>
      <c r="F16" s="23"/>
    </row>
    <row r="17" spans="2:6" x14ac:dyDescent="0.2">
      <c r="B17" s="23"/>
      <c r="C17" s="23"/>
      <c r="E17" s="23"/>
      <c r="F17" s="23"/>
    </row>
    <row r="18" spans="2:6" x14ac:dyDescent="0.2">
      <c r="B18" s="23"/>
      <c r="C18" s="23"/>
      <c r="E18" s="23"/>
      <c r="F18" s="23"/>
    </row>
    <row r="19" spans="2:6" x14ac:dyDescent="0.2">
      <c r="B19" s="23"/>
      <c r="C19" s="23"/>
      <c r="E19" s="23"/>
      <c r="F19" s="23"/>
    </row>
    <row r="20" spans="2:6" x14ac:dyDescent="0.2">
      <c r="B20" s="23"/>
      <c r="C20" s="23"/>
      <c r="E20" s="23"/>
      <c r="F20" s="23"/>
    </row>
    <row r="21" spans="2:6" x14ac:dyDescent="0.2">
      <c r="B21" s="23"/>
      <c r="C21" s="23"/>
      <c r="E21" s="23"/>
      <c r="F21" s="23"/>
    </row>
    <row r="22" spans="2:6" x14ac:dyDescent="0.2">
      <c r="B22" s="25"/>
      <c r="C22" s="25"/>
      <c r="E22" s="25"/>
      <c r="F22" s="25"/>
    </row>
    <row r="23" spans="2:6" x14ac:dyDescent="0.2">
      <c r="B23" s="25"/>
      <c r="C23" s="25"/>
      <c r="E23" s="25"/>
      <c r="F23" s="25"/>
    </row>
    <row r="24" spans="2:6" x14ac:dyDescent="0.2">
      <c r="B24" s="25"/>
      <c r="C24" s="25"/>
      <c r="E24" s="25"/>
      <c r="F24" s="25"/>
    </row>
    <row r="25" spans="2:6" x14ac:dyDescent="0.2">
      <c r="B25" s="25"/>
      <c r="C25" s="25"/>
      <c r="E25" s="25"/>
      <c r="F25" s="25"/>
    </row>
    <row r="26" spans="2:6" x14ac:dyDescent="0.2">
      <c r="B26" s="11"/>
      <c r="C26" s="11"/>
      <c r="E26" s="11"/>
      <c r="F26" s="11"/>
    </row>
    <row r="27" spans="2:6" x14ac:dyDescent="0.2">
      <c r="B27" s="3"/>
      <c r="C27" s="3"/>
      <c r="E27" s="3"/>
      <c r="F27" s="3"/>
    </row>
    <row r="28" spans="2:6" x14ac:dyDescent="0.2">
      <c r="B28" s="3"/>
      <c r="C28" s="3"/>
      <c r="E28" s="3"/>
      <c r="F28" s="3"/>
    </row>
    <row r="29" spans="2:6" x14ac:dyDescent="0.2">
      <c r="B29" s="3"/>
      <c r="C29" s="3"/>
      <c r="E29" s="3"/>
      <c r="F29" s="3"/>
    </row>
    <row r="30" spans="2:6" x14ac:dyDescent="0.2">
      <c r="B30" s="3"/>
      <c r="C30" s="3"/>
      <c r="E30" s="3"/>
      <c r="F30" s="3"/>
    </row>
    <row r="31" spans="2:6" x14ac:dyDescent="0.2">
      <c r="B31" s="3"/>
      <c r="C31" s="3"/>
      <c r="E31" s="3"/>
      <c r="F31" s="3"/>
    </row>
    <row r="32" spans="2:6" x14ac:dyDescent="0.2">
      <c r="B32" s="3"/>
      <c r="C32" s="3"/>
      <c r="E32" s="3"/>
      <c r="F32" s="3"/>
    </row>
  </sheetData>
  <hyperlinks>
    <hyperlink ref="C9" r:id="rId1" xr:uid="{00000000-0004-0000-06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39997558519241921"/>
  </sheetPr>
  <dimension ref="B5:S41"/>
  <sheetViews>
    <sheetView showGridLines="0" topLeftCell="A7" workbookViewId="0">
      <selection activeCell="L15" sqref="L15"/>
    </sheetView>
  </sheetViews>
  <sheetFormatPr defaultRowHeight="12.75" x14ac:dyDescent="0.2"/>
  <cols>
    <col min="1" max="1" width="5.42578125" customWidth="1"/>
    <col min="2" max="3" width="11.42578125" customWidth="1"/>
    <col min="4" max="4" width="59.85546875" customWidth="1"/>
    <col min="5" max="5" width="26.42578125" customWidth="1"/>
    <col min="6" max="6" width="13.28515625" customWidth="1"/>
    <col min="7" max="9" width="11.5703125" customWidth="1"/>
    <col min="10" max="19" width="3.7109375" customWidth="1"/>
  </cols>
  <sheetData>
    <row r="5" spans="2:19" ht="18" customHeight="1" x14ac:dyDescent="0.3">
      <c r="B5" s="2" t="s">
        <v>52</v>
      </c>
      <c r="J5" s="30"/>
      <c r="N5" s="30"/>
    </row>
    <row r="6" spans="2:19" ht="18" customHeight="1" x14ac:dyDescent="0.3">
      <c r="B6" s="2"/>
      <c r="J6" s="30"/>
      <c r="N6" s="30" t="s">
        <v>53</v>
      </c>
    </row>
    <row r="7" spans="2:19" ht="34.5" customHeight="1" x14ac:dyDescent="0.2">
      <c r="B7" s="26" t="s">
        <v>42</v>
      </c>
      <c r="C7" s="26" t="s">
        <v>54</v>
      </c>
      <c r="D7" s="26" t="s">
        <v>24</v>
      </c>
      <c r="E7" s="26" t="s">
        <v>45</v>
      </c>
      <c r="F7" s="26" t="s">
        <v>27</v>
      </c>
      <c r="G7" s="27" t="s">
        <v>43</v>
      </c>
      <c r="H7" s="27" t="s">
        <v>55</v>
      </c>
      <c r="I7" s="27" t="s">
        <v>56</v>
      </c>
      <c r="J7" s="29" t="s">
        <v>57</v>
      </c>
      <c r="K7" s="29" t="s">
        <v>58</v>
      </c>
      <c r="L7" s="29" t="s">
        <v>59</v>
      </c>
      <c r="M7" s="29" t="s">
        <v>60</v>
      </c>
      <c r="N7" s="29" t="s">
        <v>61</v>
      </c>
      <c r="O7" s="29" t="s">
        <v>62</v>
      </c>
      <c r="P7" s="29" t="s">
        <v>63</v>
      </c>
      <c r="Q7" s="29" t="s">
        <v>64</v>
      </c>
      <c r="R7" s="29" t="s">
        <v>65</v>
      </c>
      <c r="S7" s="29" t="s">
        <v>66</v>
      </c>
    </row>
    <row r="8" spans="2:19" ht="27.6" customHeight="1" x14ac:dyDescent="0.2">
      <c r="B8" s="3">
        <v>1.1000000000000001</v>
      </c>
      <c r="C8" s="3">
        <v>13</v>
      </c>
      <c r="D8" s="25" t="s">
        <v>94</v>
      </c>
      <c r="E8" s="3" t="s">
        <v>50</v>
      </c>
      <c r="F8" s="3" t="s">
        <v>192</v>
      </c>
      <c r="G8" s="10">
        <v>13</v>
      </c>
      <c r="H8" s="31">
        <f t="shared" ref="H8:H31" si="0">SUM(J8:S8)</f>
        <v>13</v>
      </c>
      <c r="I8" s="31">
        <f t="shared" ref="I8:I31" si="1">G8-H8</f>
        <v>0</v>
      </c>
      <c r="J8" s="10">
        <v>13</v>
      </c>
      <c r="K8" s="10"/>
      <c r="L8" s="10"/>
      <c r="M8" s="10"/>
      <c r="N8" s="10"/>
      <c r="O8" s="10"/>
      <c r="P8" s="10"/>
      <c r="Q8" s="10"/>
      <c r="R8" s="10"/>
      <c r="S8" s="10"/>
    </row>
    <row r="9" spans="2:19" ht="27.6" customHeight="1" x14ac:dyDescent="0.2">
      <c r="B9" s="3">
        <v>1.1000000000000001</v>
      </c>
      <c r="C9" s="3">
        <v>14</v>
      </c>
      <c r="D9" s="25" t="s">
        <v>98</v>
      </c>
      <c r="E9" s="3" t="s">
        <v>50</v>
      </c>
      <c r="F9" s="3" t="s">
        <v>192</v>
      </c>
      <c r="G9" s="10">
        <v>5</v>
      </c>
      <c r="H9" s="31">
        <f t="shared" si="0"/>
        <v>5</v>
      </c>
      <c r="I9" s="31">
        <f t="shared" si="1"/>
        <v>0</v>
      </c>
      <c r="J9" s="10"/>
      <c r="K9" s="10">
        <v>5</v>
      </c>
      <c r="L9" s="10"/>
      <c r="M9" s="10"/>
      <c r="N9" s="10"/>
      <c r="O9" s="10"/>
      <c r="P9" s="10"/>
      <c r="Q9" s="10"/>
      <c r="R9" s="10"/>
      <c r="S9" s="10"/>
    </row>
    <row r="10" spans="2:19" x14ac:dyDescent="0.2">
      <c r="B10" s="3">
        <v>1.1000000000000001</v>
      </c>
      <c r="C10" s="3">
        <v>15</v>
      </c>
      <c r="D10" s="3" t="s">
        <v>102</v>
      </c>
      <c r="E10" s="3" t="s">
        <v>12</v>
      </c>
      <c r="F10" s="3" t="s">
        <v>192</v>
      </c>
      <c r="G10" s="10">
        <v>3</v>
      </c>
      <c r="H10" s="31">
        <v>3</v>
      </c>
      <c r="I10" s="31">
        <f t="shared" si="1"/>
        <v>0</v>
      </c>
      <c r="J10" s="10"/>
      <c r="K10" s="10">
        <v>3</v>
      </c>
      <c r="L10" s="10"/>
      <c r="M10" s="10"/>
      <c r="N10" s="10"/>
      <c r="O10" s="10"/>
      <c r="P10" s="10"/>
      <c r="Q10" s="10"/>
      <c r="R10" s="10"/>
      <c r="S10" s="10"/>
    </row>
    <row r="11" spans="2:19" x14ac:dyDescent="0.2">
      <c r="B11" s="3">
        <v>1.1000000000000001</v>
      </c>
      <c r="C11" s="3">
        <v>16</v>
      </c>
      <c r="D11" s="3" t="s">
        <v>106</v>
      </c>
      <c r="E11" s="3" t="s">
        <v>12</v>
      </c>
      <c r="F11" s="3" t="s">
        <v>192</v>
      </c>
      <c r="G11" s="10">
        <v>5</v>
      </c>
      <c r="H11" s="31">
        <f t="shared" si="0"/>
        <v>5</v>
      </c>
      <c r="I11" s="31">
        <f t="shared" si="1"/>
        <v>0</v>
      </c>
      <c r="J11" s="10"/>
      <c r="K11" s="10"/>
      <c r="L11" s="10">
        <v>5</v>
      </c>
      <c r="M11" s="10"/>
      <c r="N11" s="10"/>
      <c r="O11" s="10"/>
      <c r="P11" s="10"/>
      <c r="Q11" s="10"/>
      <c r="R11" s="10"/>
      <c r="S11" s="10"/>
    </row>
    <row r="12" spans="2:19" x14ac:dyDescent="0.2">
      <c r="B12" s="3">
        <v>1.1000000000000001</v>
      </c>
      <c r="C12" s="3">
        <v>17</v>
      </c>
      <c r="D12" s="3" t="s">
        <v>110</v>
      </c>
      <c r="E12" s="3" t="s">
        <v>12</v>
      </c>
      <c r="F12" s="3" t="s">
        <v>192</v>
      </c>
      <c r="G12" s="10">
        <v>5</v>
      </c>
      <c r="H12" s="31">
        <v>5</v>
      </c>
      <c r="I12" s="31">
        <f t="shared" si="1"/>
        <v>0</v>
      </c>
      <c r="J12" s="10"/>
      <c r="K12" s="10"/>
      <c r="L12" s="10">
        <v>5</v>
      </c>
      <c r="M12" s="10"/>
      <c r="N12" s="10"/>
      <c r="O12" s="10"/>
      <c r="P12" s="10"/>
      <c r="Q12" s="10"/>
      <c r="R12" s="10"/>
      <c r="S12" s="10"/>
    </row>
    <row r="13" spans="2:19" x14ac:dyDescent="0.2">
      <c r="B13" s="3">
        <v>1.1000000000000001</v>
      </c>
      <c r="C13" s="3">
        <v>18</v>
      </c>
      <c r="D13" s="3" t="s">
        <v>114</v>
      </c>
      <c r="E13" s="3" t="s">
        <v>50</v>
      </c>
      <c r="F13" s="3" t="s">
        <v>192</v>
      </c>
      <c r="G13" s="10">
        <v>5</v>
      </c>
      <c r="H13" s="31">
        <f t="shared" si="0"/>
        <v>5</v>
      </c>
      <c r="I13" s="31">
        <f t="shared" si="1"/>
        <v>0</v>
      </c>
      <c r="J13" s="10"/>
      <c r="K13" s="10"/>
      <c r="L13" s="10"/>
      <c r="M13" s="10">
        <v>5</v>
      </c>
      <c r="N13" s="10"/>
      <c r="O13" s="10"/>
      <c r="P13" s="10"/>
      <c r="Q13" s="10"/>
      <c r="R13" s="10"/>
      <c r="S13" s="10"/>
    </row>
    <row r="14" spans="2:19" x14ac:dyDescent="0.2">
      <c r="B14" s="3">
        <v>1.1000000000000001</v>
      </c>
      <c r="C14" s="3">
        <v>19</v>
      </c>
      <c r="D14" s="3" t="s">
        <v>119</v>
      </c>
      <c r="E14" s="3" t="s">
        <v>50</v>
      </c>
      <c r="F14" s="3" t="s">
        <v>192</v>
      </c>
      <c r="G14" s="10">
        <v>2</v>
      </c>
      <c r="H14" s="31">
        <f t="shared" si="0"/>
        <v>2</v>
      </c>
      <c r="I14" s="31">
        <f t="shared" si="1"/>
        <v>0</v>
      </c>
      <c r="J14" s="10"/>
      <c r="K14" s="10"/>
      <c r="L14" s="10"/>
      <c r="M14" s="10">
        <v>2</v>
      </c>
      <c r="N14" s="10"/>
      <c r="O14" s="10"/>
      <c r="P14" s="10"/>
      <c r="Q14" s="10"/>
      <c r="R14" s="10"/>
      <c r="S14" s="10"/>
    </row>
    <row r="15" spans="2:19" x14ac:dyDescent="0.2">
      <c r="B15" s="3">
        <v>1.1000000000000001</v>
      </c>
      <c r="C15" s="3">
        <v>20</v>
      </c>
      <c r="D15" s="3" t="s">
        <v>119</v>
      </c>
      <c r="E15" s="3" t="s">
        <v>50</v>
      </c>
      <c r="F15" s="3" t="s">
        <v>192</v>
      </c>
      <c r="G15" s="10">
        <v>2</v>
      </c>
      <c r="H15" s="31">
        <f t="shared" si="0"/>
        <v>2</v>
      </c>
      <c r="I15" s="31">
        <f t="shared" si="1"/>
        <v>0</v>
      </c>
      <c r="J15" s="10"/>
      <c r="K15" s="10"/>
      <c r="L15" s="10"/>
      <c r="M15" s="10">
        <v>2</v>
      </c>
      <c r="N15" s="10"/>
      <c r="O15" s="10"/>
      <c r="P15" s="10"/>
      <c r="Q15" s="10"/>
      <c r="R15" s="10"/>
      <c r="S15" s="10"/>
    </row>
    <row r="16" spans="2:19" ht="27.6" customHeight="1" x14ac:dyDescent="0.2">
      <c r="B16" s="3">
        <v>1.2</v>
      </c>
      <c r="C16" s="3">
        <v>23</v>
      </c>
      <c r="D16" s="25" t="s">
        <v>126</v>
      </c>
      <c r="E16" s="3" t="s">
        <v>50</v>
      </c>
      <c r="F16" s="3" t="s">
        <v>192</v>
      </c>
      <c r="G16" s="10">
        <v>8</v>
      </c>
      <c r="H16" s="31">
        <f t="shared" si="0"/>
        <v>8</v>
      </c>
      <c r="I16" s="31">
        <f t="shared" si="1"/>
        <v>0</v>
      </c>
      <c r="J16" s="10"/>
      <c r="K16" s="10"/>
      <c r="L16" s="10"/>
      <c r="M16" s="10"/>
      <c r="N16" s="10">
        <v>8</v>
      </c>
      <c r="O16" s="10"/>
      <c r="P16" s="10"/>
      <c r="Q16" s="10"/>
      <c r="R16" s="10"/>
      <c r="S16" s="10"/>
    </row>
    <row r="17" spans="2:19" ht="27.6" customHeight="1" x14ac:dyDescent="0.2">
      <c r="B17" s="3">
        <v>1.2</v>
      </c>
      <c r="C17" s="3">
        <v>24</v>
      </c>
      <c r="D17" s="25" t="s">
        <v>126</v>
      </c>
      <c r="E17" s="3" t="s">
        <v>67</v>
      </c>
      <c r="F17" s="3" t="s">
        <v>192</v>
      </c>
      <c r="G17" s="10">
        <v>2</v>
      </c>
      <c r="H17" s="31">
        <f t="shared" si="0"/>
        <v>2</v>
      </c>
      <c r="I17" s="31">
        <f t="shared" si="1"/>
        <v>0</v>
      </c>
      <c r="J17" s="10"/>
      <c r="K17" s="10"/>
      <c r="L17" s="10"/>
      <c r="M17" s="10"/>
      <c r="N17" s="10"/>
      <c r="O17" s="10">
        <v>2</v>
      </c>
      <c r="P17" s="10"/>
      <c r="Q17" s="10"/>
      <c r="R17" s="10"/>
      <c r="S17" s="10"/>
    </row>
    <row r="18" spans="2:19" ht="27.6" customHeight="1" x14ac:dyDescent="0.2">
      <c r="B18" s="3">
        <v>1.2</v>
      </c>
      <c r="C18" s="3">
        <v>25</v>
      </c>
      <c r="D18" s="25" t="s">
        <v>126</v>
      </c>
      <c r="E18" s="3" t="s">
        <v>67</v>
      </c>
      <c r="F18" s="3" t="s">
        <v>192</v>
      </c>
      <c r="G18" s="10">
        <v>2</v>
      </c>
      <c r="H18" s="31">
        <f t="shared" si="0"/>
        <v>2</v>
      </c>
      <c r="I18" s="31">
        <f t="shared" si="1"/>
        <v>0</v>
      </c>
      <c r="J18" s="10"/>
      <c r="K18" s="10"/>
      <c r="L18" s="10"/>
      <c r="M18" s="10"/>
      <c r="N18" s="10"/>
      <c r="O18" s="10">
        <v>2</v>
      </c>
      <c r="P18" s="10"/>
      <c r="Q18" s="10"/>
      <c r="R18" s="10"/>
      <c r="S18" s="10"/>
    </row>
    <row r="19" spans="2:19" ht="27.6" customHeight="1" x14ac:dyDescent="0.2">
      <c r="B19" s="3">
        <v>1.2</v>
      </c>
      <c r="C19" s="3">
        <v>26</v>
      </c>
      <c r="D19" s="25" t="s">
        <v>136</v>
      </c>
      <c r="E19" s="3" t="s">
        <v>68</v>
      </c>
      <c r="F19" s="3" t="s">
        <v>192</v>
      </c>
      <c r="G19" s="10">
        <v>5</v>
      </c>
      <c r="H19" s="31">
        <v>5</v>
      </c>
      <c r="I19" s="31">
        <f t="shared" si="1"/>
        <v>0</v>
      </c>
      <c r="J19" s="10"/>
      <c r="K19" s="10"/>
      <c r="L19" s="10"/>
      <c r="M19" s="10"/>
      <c r="N19" s="10">
        <v>5</v>
      </c>
      <c r="O19" s="10"/>
      <c r="P19" s="10"/>
      <c r="Q19" s="10"/>
      <c r="R19" s="10"/>
      <c r="S19" s="10"/>
    </row>
    <row r="20" spans="2:19" ht="27.6" customHeight="1" x14ac:dyDescent="0.2">
      <c r="B20" s="3">
        <v>1.2</v>
      </c>
      <c r="C20" s="3">
        <v>27</v>
      </c>
      <c r="D20" s="25" t="s">
        <v>140</v>
      </c>
      <c r="E20" s="3" t="s">
        <v>68</v>
      </c>
      <c r="F20" s="3" t="s">
        <v>192</v>
      </c>
      <c r="G20" s="10">
        <v>2</v>
      </c>
      <c r="H20" s="31">
        <f t="shared" si="0"/>
        <v>2</v>
      </c>
      <c r="I20" s="31">
        <f t="shared" si="1"/>
        <v>0</v>
      </c>
      <c r="J20" s="10"/>
      <c r="K20" s="10"/>
      <c r="L20" s="10"/>
      <c r="M20" s="10"/>
      <c r="N20" s="10"/>
      <c r="O20" s="10">
        <v>2</v>
      </c>
      <c r="P20" s="10"/>
      <c r="Q20" s="10"/>
      <c r="R20" s="10"/>
      <c r="S20" s="10"/>
    </row>
    <row r="21" spans="2:19" x14ac:dyDescent="0.2">
      <c r="B21" s="3">
        <v>1.2</v>
      </c>
      <c r="C21" s="3">
        <v>31</v>
      </c>
      <c r="D21" s="3" t="s">
        <v>144</v>
      </c>
      <c r="E21" s="3" t="s">
        <v>68</v>
      </c>
      <c r="F21" s="3" t="s">
        <v>192</v>
      </c>
      <c r="G21" s="10">
        <v>5</v>
      </c>
      <c r="H21" s="31">
        <f t="shared" si="0"/>
        <v>5</v>
      </c>
      <c r="I21" s="31">
        <f t="shared" si="1"/>
        <v>0</v>
      </c>
      <c r="J21" s="10"/>
      <c r="K21" s="10"/>
      <c r="L21" s="10"/>
      <c r="M21" s="10"/>
      <c r="N21" s="10">
        <v>2</v>
      </c>
      <c r="O21" s="10">
        <v>2</v>
      </c>
      <c r="P21" s="10">
        <v>1</v>
      </c>
      <c r="Q21" s="10"/>
      <c r="R21" s="10"/>
      <c r="S21" s="10"/>
    </row>
    <row r="22" spans="2:19" x14ac:dyDescent="0.2">
      <c r="B22" s="3">
        <v>1.2</v>
      </c>
      <c r="C22" s="3">
        <v>32</v>
      </c>
      <c r="D22" s="3" t="s">
        <v>148</v>
      </c>
      <c r="E22" s="44" t="s">
        <v>68</v>
      </c>
      <c r="F22" s="3" t="s">
        <v>192</v>
      </c>
      <c r="G22" s="10">
        <v>3</v>
      </c>
      <c r="H22" s="31">
        <f t="shared" si="0"/>
        <v>3</v>
      </c>
      <c r="I22" s="31">
        <f t="shared" si="1"/>
        <v>0</v>
      </c>
      <c r="J22" s="10"/>
      <c r="K22" s="10"/>
      <c r="L22" s="10"/>
      <c r="M22" s="10"/>
      <c r="N22" s="10"/>
      <c r="O22" s="10">
        <v>3</v>
      </c>
      <c r="P22" s="10"/>
      <c r="Q22" s="10"/>
      <c r="R22" s="10"/>
      <c r="S22" s="10"/>
    </row>
    <row r="23" spans="2:19" x14ac:dyDescent="0.2">
      <c r="B23" s="3">
        <v>1.2</v>
      </c>
      <c r="C23" s="3">
        <v>33</v>
      </c>
      <c r="D23" s="3" t="s">
        <v>152</v>
      </c>
      <c r="E23" s="3" t="s">
        <v>12</v>
      </c>
      <c r="F23" s="3" t="s">
        <v>192</v>
      </c>
      <c r="G23" s="10">
        <v>3</v>
      </c>
      <c r="H23" s="31">
        <f t="shared" si="0"/>
        <v>3</v>
      </c>
      <c r="I23" s="31">
        <f t="shared" si="1"/>
        <v>0</v>
      </c>
      <c r="J23" s="10"/>
      <c r="K23" s="10"/>
      <c r="L23" s="10"/>
      <c r="M23" s="10"/>
      <c r="N23" s="10"/>
      <c r="O23" s="10"/>
      <c r="P23" s="10"/>
      <c r="Q23" s="10">
        <v>3</v>
      </c>
      <c r="R23" s="10"/>
      <c r="S23" s="10"/>
    </row>
    <row r="24" spans="2:19" x14ac:dyDescent="0.2">
      <c r="B24" s="3">
        <v>1.2</v>
      </c>
      <c r="C24" s="3">
        <v>34</v>
      </c>
      <c r="D24" s="3" t="s">
        <v>148</v>
      </c>
      <c r="E24" s="44" t="s">
        <v>68</v>
      </c>
      <c r="F24" s="3" t="s">
        <v>192</v>
      </c>
      <c r="G24" s="10">
        <v>2</v>
      </c>
      <c r="H24" s="31">
        <f t="shared" si="0"/>
        <v>2</v>
      </c>
      <c r="I24" s="31">
        <f t="shared" si="1"/>
        <v>0</v>
      </c>
      <c r="J24" s="10"/>
      <c r="K24" s="10"/>
      <c r="L24" s="10"/>
      <c r="M24" s="10"/>
      <c r="N24" s="10"/>
      <c r="O24" s="10"/>
      <c r="P24" s="10">
        <v>2</v>
      </c>
      <c r="Q24" s="10"/>
      <c r="R24" s="10"/>
      <c r="S24" s="10"/>
    </row>
    <row r="25" spans="2:19" x14ac:dyDescent="0.2">
      <c r="B25" s="3">
        <v>1.2</v>
      </c>
      <c r="C25" s="3">
        <v>35</v>
      </c>
      <c r="D25" s="3" t="s">
        <v>158</v>
      </c>
      <c r="E25" s="44" t="s">
        <v>68</v>
      </c>
      <c r="F25" s="3" t="s">
        <v>192</v>
      </c>
      <c r="G25" s="10">
        <v>3</v>
      </c>
      <c r="H25" s="31">
        <f t="shared" si="0"/>
        <v>3</v>
      </c>
      <c r="I25" s="31">
        <f t="shared" si="1"/>
        <v>0</v>
      </c>
      <c r="J25" s="10"/>
      <c r="K25" s="10"/>
      <c r="L25" s="10"/>
      <c r="M25" s="10"/>
      <c r="N25" s="10"/>
      <c r="O25" s="10"/>
      <c r="P25" s="10"/>
      <c r="Q25" s="10">
        <v>2</v>
      </c>
      <c r="R25" s="10">
        <v>1</v>
      </c>
      <c r="S25" s="10"/>
    </row>
    <row r="26" spans="2:19" x14ac:dyDescent="0.2">
      <c r="B26" s="3">
        <v>1.2</v>
      </c>
      <c r="C26" s="3">
        <v>36</v>
      </c>
      <c r="D26" s="3" t="s">
        <v>148</v>
      </c>
      <c r="E26" s="3" t="s">
        <v>12</v>
      </c>
      <c r="F26" s="3" t="s">
        <v>192</v>
      </c>
      <c r="G26" s="10">
        <v>2</v>
      </c>
      <c r="H26" s="31">
        <f t="shared" si="0"/>
        <v>2</v>
      </c>
      <c r="I26" s="31">
        <f t="shared" si="1"/>
        <v>0</v>
      </c>
      <c r="J26" s="10"/>
      <c r="K26" s="10"/>
      <c r="L26" s="10"/>
      <c r="M26" s="10"/>
      <c r="N26" s="10"/>
      <c r="O26" s="10"/>
      <c r="P26" s="10"/>
      <c r="Q26" s="10"/>
      <c r="R26" s="10">
        <v>2</v>
      </c>
      <c r="S26" s="10"/>
    </row>
    <row r="27" spans="2:19" ht="27.6" customHeight="1" x14ac:dyDescent="0.2">
      <c r="B27" s="3">
        <v>1.2</v>
      </c>
      <c r="C27" s="3">
        <v>37</v>
      </c>
      <c r="D27" s="25" t="s">
        <v>164</v>
      </c>
      <c r="E27" s="3" t="s">
        <v>50</v>
      </c>
      <c r="F27" s="3" t="s">
        <v>192</v>
      </c>
      <c r="G27" s="10">
        <v>5</v>
      </c>
      <c r="H27" s="31">
        <v>5</v>
      </c>
      <c r="I27" s="31">
        <f t="shared" si="1"/>
        <v>0</v>
      </c>
      <c r="J27" s="10"/>
      <c r="K27" s="10"/>
      <c r="L27" s="10"/>
      <c r="M27" s="10"/>
      <c r="N27" s="10"/>
      <c r="O27" s="10"/>
      <c r="P27" s="10">
        <v>1</v>
      </c>
      <c r="Q27" s="10">
        <v>2</v>
      </c>
      <c r="R27" s="10">
        <v>2</v>
      </c>
      <c r="S27" s="10"/>
    </row>
    <row r="28" spans="2:19" x14ac:dyDescent="0.2">
      <c r="B28" s="3">
        <v>1.2</v>
      </c>
      <c r="C28" s="3">
        <v>38</v>
      </c>
      <c r="D28" s="3" t="s">
        <v>168</v>
      </c>
      <c r="E28" s="3" t="s">
        <v>50</v>
      </c>
      <c r="F28" s="3" t="s">
        <v>192</v>
      </c>
      <c r="G28" s="10">
        <v>3</v>
      </c>
      <c r="H28" s="31">
        <f t="shared" si="0"/>
        <v>3</v>
      </c>
      <c r="I28" s="31">
        <f t="shared" si="1"/>
        <v>0</v>
      </c>
      <c r="J28" s="10"/>
      <c r="K28" s="10"/>
      <c r="L28" s="10"/>
      <c r="M28" s="10"/>
      <c r="N28" s="10"/>
      <c r="O28" s="10"/>
      <c r="P28" s="10"/>
      <c r="Q28" s="10"/>
      <c r="R28" s="10"/>
      <c r="S28" s="10">
        <v>3</v>
      </c>
    </row>
    <row r="29" spans="2:19" x14ac:dyDescent="0.2">
      <c r="B29" s="3">
        <v>1.2</v>
      </c>
      <c r="C29" s="3">
        <v>39</v>
      </c>
      <c r="D29" s="3" t="s">
        <v>172</v>
      </c>
      <c r="E29" s="44" t="s">
        <v>67</v>
      </c>
      <c r="F29" s="3" t="s">
        <v>192</v>
      </c>
      <c r="G29" s="10">
        <v>2</v>
      </c>
      <c r="H29" s="31">
        <f t="shared" si="0"/>
        <v>2</v>
      </c>
      <c r="I29" s="31">
        <f t="shared" si="1"/>
        <v>0</v>
      </c>
      <c r="J29" s="10"/>
      <c r="K29" s="10"/>
      <c r="L29" s="10"/>
      <c r="M29" s="10"/>
      <c r="N29" s="10"/>
      <c r="O29" s="10"/>
      <c r="P29" s="10"/>
      <c r="Q29" s="10"/>
      <c r="R29" s="10"/>
      <c r="S29" s="10">
        <v>2</v>
      </c>
    </row>
    <row r="30" spans="2:19" x14ac:dyDescent="0.2">
      <c r="B30" s="3">
        <v>1.2</v>
      </c>
      <c r="C30" s="3">
        <v>40</v>
      </c>
      <c r="D30" s="3" t="s">
        <v>176</v>
      </c>
      <c r="E30" s="44" t="s">
        <v>68</v>
      </c>
      <c r="F30" s="3" t="s">
        <v>192</v>
      </c>
      <c r="G30" s="10">
        <v>2</v>
      </c>
      <c r="H30" s="31">
        <f t="shared" si="0"/>
        <v>2</v>
      </c>
      <c r="I30" s="31">
        <f t="shared" si="1"/>
        <v>0</v>
      </c>
      <c r="J30" s="10"/>
      <c r="K30" s="10"/>
      <c r="L30" s="10"/>
      <c r="M30" s="10"/>
      <c r="N30" s="10"/>
      <c r="O30" s="10"/>
      <c r="P30" s="10"/>
      <c r="Q30" s="10"/>
      <c r="R30" s="10"/>
      <c r="S30" s="10">
        <v>2</v>
      </c>
    </row>
    <row r="31" spans="2:19" x14ac:dyDescent="0.2">
      <c r="B31" s="3">
        <v>1.2</v>
      </c>
      <c r="C31" s="3">
        <v>41</v>
      </c>
      <c r="D31" s="3" t="s">
        <v>180</v>
      </c>
      <c r="E31" s="3" t="s">
        <v>12</v>
      </c>
      <c r="F31" s="3" t="s">
        <v>192</v>
      </c>
      <c r="G31" s="10">
        <v>2</v>
      </c>
      <c r="H31" s="31">
        <f t="shared" si="0"/>
        <v>2</v>
      </c>
      <c r="I31" s="31">
        <f t="shared" si="1"/>
        <v>0</v>
      </c>
      <c r="J31" s="10"/>
      <c r="K31" s="10"/>
      <c r="L31" s="10"/>
      <c r="M31" s="10"/>
      <c r="N31" s="10"/>
      <c r="O31" s="10"/>
      <c r="P31" s="10"/>
      <c r="Q31" s="10"/>
      <c r="R31" s="10"/>
      <c r="S31" s="10">
        <v>2</v>
      </c>
    </row>
    <row r="32" spans="2:19" x14ac:dyDescent="0.2">
      <c r="B32" s="3"/>
      <c r="C32" s="3"/>
      <c r="D32" s="3"/>
      <c r="E32" s="3"/>
      <c r="F32" s="3"/>
      <c r="G32" s="10"/>
      <c r="H32" s="31"/>
      <c r="I32" s="31"/>
      <c r="J32" s="10"/>
      <c r="K32" s="10"/>
      <c r="L32" s="10"/>
      <c r="M32" s="10"/>
      <c r="N32" s="10"/>
      <c r="O32" s="10"/>
      <c r="P32" s="10"/>
      <c r="Q32" s="10"/>
      <c r="R32" s="10"/>
      <c r="S32" s="10"/>
    </row>
    <row r="33" spans="2:19" x14ac:dyDescent="0.2">
      <c r="B33" s="3"/>
      <c r="C33" s="3"/>
      <c r="D33" s="3"/>
      <c r="E33" s="3"/>
      <c r="F33" s="3"/>
      <c r="G33" s="10"/>
      <c r="H33" s="31"/>
      <c r="I33" s="31"/>
      <c r="J33" s="10"/>
      <c r="K33" s="10"/>
      <c r="L33" s="10"/>
      <c r="M33" s="10"/>
      <c r="N33" s="10"/>
      <c r="O33" s="10"/>
      <c r="P33" s="10"/>
      <c r="Q33" s="10"/>
      <c r="R33" s="10"/>
      <c r="S33" s="10"/>
    </row>
    <row r="34" spans="2:19" x14ac:dyDescent="0.2">
      <c r="B34" s="3"/>
      <c r="C34" s="3"/>
      <c r="D34" s="3"/>
      <c r="E34" s="3"/>
      <c r="F34" s="3"/>
      <c r="G34" s="10"/>
      <c r="H34" s="31"/>
      <c r="I34" s="31"/>
      <c r="J34" s="10"/>
      <c r="K34" s="10"/>
      <c r="L34" s="10"/>
      <c r="M34" s="10"/>
      <c r="N34" s="10"/>
      <c r="O34" s="10"/>
      <c r="P34" s="10"/>
      <c r="Q34" s="10"/>
      <c r="R34" s="10"/>
      <c r="S34" s="10"/>
    </row>
    <row r="35" spans="2:19" x14ac:dyDescent="0.2">
      <c r="B35" s="3"/>
      <c r="C35" s="3"/>
      <c r="D35" s="3"/>
      <c r="E35" s="3"/>
      <c r="F35" s="3"/>
      <c r="G35" s="10"/>
      <c r="H35" s="31"/>
      <c r="I35" s="31"/>
      <c r="J35" s="10"/>
      <c r="K35" s="10"/>
      <c r="L35" s="10"/>
      <c r="M35" s="10"/>
      <c r="N35" s="10"/>
      <c r="O35" s="10"/>
      <c r="P35" s="10"/>
      <c r="Q35" s="10"/>
      <c r="R35" s="10"/>
      <c r="S35" s="10"/>
    </row>
    <row r="36" spans="2:19" x14ac:dyDescent="0.2">
      <c r="B36" s="3"/>
      <c r="C36" s="3"/>
      <c r="D36" s="3"/>
      <c r="E36" s="3"/>
      <c r="F36" s="3"/>
      <c r="G36" s="10"/>
      <c r="H36" s="31">
        <f>SUM(J36:S36)</f>
        <v>0</v>
      </c>
      <c r="I36" s="31">
        <f>G36-H36</f>
        <v>0</v>
      </c>
      <c r="J36" s="10"/>
      <c r="K36" s="10"/>
      <c r="L36" s="10"/>
      <c r="M36" s="10"/>
      <c r="N36" s="10"/>
      <c r="O36" s="10"/>
      <c r="P36" s="10"/>
      <c r="Q36" s="10"/>
      <c r="R36" s="10"/>
      <c r="S36" s="10"/>
    </row>
    <row r="37" spans="2:19" x14ac:dyDescent="0.2">
      <c r="B37" s="32"/>
      <c r="C37" s="32"/>
      <c r="D37" s="32"/>
      <c r="E37" s="32"/>
      <c r="F37" s="33"/>
      <c r="G37" s="31"/>
      <c r="H37" s="31"/>
      <c r="I37" s="31"/>
      <c r="J37" s="31"/>
      <c r="K37" s="31"/>
      <c r="L37" s="31"/>
      <c r="M37" s="31"/>
      <c r="N37" s="31"/>
      <c r="O37" s="31"/>
      <c r="P37" s="31"/>
      <c r="Q37" s="31"/>
      <c r="R37" s="31"/>
      <c r="S37" s="31"/>
    </row>
    <row r="38" spans="2:19" x14ac:dyDescent="0.2">
      <c r="B38" s="34"/>
      <c r="C38" s="34"/>
      <c r="D38" s="34"/>
      <c r="E38" s="34"/>
      <c r="F38" s="36" t="s">
        <v>69</v>
      </c>
      <c r="G38" s="35">
        <f t="shared" ref="G38:S38" si="2">SUBTOTAL(9,G7:G35)</f>
        <v>91</v>
      </c>
      <c r="H38" s="35">
        <f t="shared" si="2"/>
        <v>91</v>
      </c>
      <c r="I38" s="35">
        <f t="shared" si="2"/>
        <v>0</v>
      </c>
      <c r="J38" s="35">
        <f t="shared" si="2"/>
        <v>13</v>
      </c>
      <c r="K38" s="35">
        <f t="shared" si="2"/>
        <v>8</v>
      </c>
      <c r="L38" s="35">
        <f t="shared" si="2"/>
        <v>10</v>
      </c>
      <c r="M38" s="35">
        <f t="shared" si="2"/>
        <v>9</v>
      </c>
      <c r="N38" s="35">
        <f t="shared" si="2"/>
        <v>15</v>
      </c>
      <c r="O38" s="35">
        <f t="shared" si="2"/>
        <v>11</v>
      </c>
      <c r="P38" s="35">
        <f t="shared" si="2"/>
        <v>4</v>
      </c>
      <c r="Q38" s="35">
        <f t="shared" si="2"/>
        <v>7</v>
      </c>
      <c r="R38" s="35">
        <f t="shared" si="2"/>
        <v>5</v>
      </c>
      <c r="S38" s="35">
        <f t="shared" si="2"/>
        <v>9</v>
      </c>
    </row>
    <row r="39" spans="2:19" x14ac:dyDescent="0.2">
      <c r="B39" s="34"/>
      <c r="C39" s="34"/>
      <c r="D39" s="34"/>
      <c r="E39" s="34"/>
      <c r="F39" s="36" t="s">
        <v>70</v>
      </c>
      <c r="G39" s="35"/>
      <c r="H39" s="35"/>
      <c r="I39" s="35"/>
      <c r="J39" s="35">
        <f>G38-J38</f>
        <v>78</v>
      </c>
      <c r="K39" s="35">
        <f t="shared" ref="K39:S39" si="3">J39-K38</f>
        <v>70</v>
      </c>
      <c r="L39" s="35">
        <f t="shared" si="3"/>
        <v>60</v>
      </c>
      <c r="M39" s="35">
        <f t="shared" si="3"/>
        <v>51</v>
      </c>
      <c r="N39" s="35">
        <f t="shared" si="3"/>
        <v>36</v>
      </c>
      <c r="O39" s="35">
        <f t="shared" si="3"/>
        <v>25</v>
      </c>
      <c r="P39" s="35">
        <f t="shared" si="3"/>
        <v>21</v>
      </c>
      <c r="Q39" s="35">
        <f t="shared" si="3"/>
        <v>14</v>
      </c>
      <c r="R39" s="35">
        <f t="shared" si="3"/>
        <v>9</v>
      </c>
      <c r="S39" s="35">
        <f t="shared" si="3"/>
        <v>0</v>
      </c>
    </row>
    <row r="40" spans="2:19" x14ac:dyDescent="0.2">
      <c r="B40" s="34"/>
      <c r="C40" s="34"/>
      <c r="D40" s="34"/>
      <c r="E40" s="34"/>
      <c r="F40" s="36" t="s">
        <v>71</v>
      </c>
      <c r="G40" s="35"/>
      <c r="H40" s="35"/>
      <c r="I40" s="35"/>
      <c r="J40" s="35">
        <f>J38</f>
        <v>13</v>
      </c>
      <c r="K40" s="35">
        <f t="shared" ref="K40:S40" si="4">J40+K38</f>
        <v>21</v>
      </c>
      <c r="L40" s="35">
        <f t="shared" si="4"/>
        <v>31</v>
      </c>
      <c r="M40" s="35">
        <f t="shared" si="4"/>
        <v>40</v>
      </c>
      <c r="N40" s="35">
        <f t="shared" si="4"/>
        <v>55</v>
      </c>
      <c r="O40" s="35">
        <f t="shared" si="4"/>
        <v>66</v>
      </c>
      <c r="P40" s="35">
        <f t="shared" si="4"/>
        <v>70</v>
      </c>
      <c r="Q40" s="35">
        <f t="shared" si="4"/>
        <v>77</v>
      </c>
      <c r="R40" s="35">
        <f t="shared" si="4"/>
        <v>82</v>
      </c>
      <c r="S40" s="35">
        <f t="shared" si="4"/>
        <v>91</v>
      </c>
    </row>
    <row r="41" spans="2:19" x14ac:dyDescent="0.2">
      <c r="B41" s="34"/>
      <c r="C41" s="34"/>
      <c r="D41" s="34"/>
      <c r="E41" s="34"/>
      <c r="F41" s="34"/>
      <c r="G41" s="34"/>
      <c r="H41" s="34"/>
      <c r="I41" s="34"/>
      <c r="J41" s="34"/>
      <c r="K41" s="34"/>
      <c r="L41" s="34"/>
      <c r="M41" s="34"/>
      <c r="N41" s="34"/>
      <c r="O41" s="34"/>
      <c r="P41" s="34"/>
      <c r="Q41" s="34"/>
      <c r="R41" s="34"/>
      <c r="S41" s="34"/>
    </row>
  </sheetData>
  <autoFilter ref="B7:S7" xr:uid="{00000000-0009-0000-0000-000002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e3520aa-c4b5-4e07-8dbc-8cd65c63c880" xsi:nil="true"/>
    <lcf76f155ced4ddcb4097134ff3c332f xmlns="33061e26-40f4-4fe1-beb3-c3488d786496">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5AEBB61A702074F8E67AB36524107BA" ma:contentTypeVersion="11" ma:contentTypeDescription="Create a new document." ma:contentTypeScope="" ma:versionID="89e4502866561de3c6fdc1ca8f7dfeb2">
  <xsd:schema xmlns:xsd="http://www.w3.org/2001/XMLSchema" xmlns:xs="http://www.w3.org/2001/XMLSchema" xmlns:p="http://schemas.microsoft.com/office/2006/metadata/properties" xmlns:ns2="33061e26-40f4-4fe1-beb3-c3488d786496" xmlns:ns3="de3520aa-c4b5-4e07-8dbc-8cd65c63c880" targetNamespace="http://schemas.microsoft.com/office/2006/metadata/properties" ma:root="true" ma:fieldsID="d42f8190a0f712381fa93b0ee34efb32" ns2:_="" ns3:_="">
    <xsd:import namespace="33061e26-40f4-4fe1-beb3-c3488d786496"/>
    <xsd:import namespace="de3520aa-c4b5-4e07-8dbc-8cd65c63c88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3061e26-40f4-4fe1-beb3-c3488d78649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aaf8b06a-778d-4447-b55c-f8813fb4c887"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e3520aa-c4b5-4e07-8dbc-8cd65c63c880"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e7e99281-23a4-4330-8480-53f47ccd5f69}" ma:internalName="TaxCatchAll" ma:showField="CatchAllData" ma:web="de3520aa-c4b5-4e07-8dbc-8cd65c63c88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E4F70E7-6A7B-4954-B4EA-BD54B88AD649}">
  <ds:schemaRefs>
    <ds:schemaRef ds:uri="http://schemas.microsoft.com/office/2006/metadata/properties"/>
    <ds:schemaRef ds:uri="http://schemas.microsoft.com/office/infopath/2007/PartnerControls"/>
    <ds:schemaRef ds:uri="de3520aa-c4b5-4e07-8dbc-8cd65c63c880"/>
    <ds:schemaRef ds:uri="33061e26-40f4-4fe1-beb3-c3488d786496"/>
  </ds:schemaRefs>
</ds:datastoreItem>
</file>

<file path=customXml/itemProps2.xml><?xml version="1.0" encoding="utf-8"?>
<ds:datastoreItem xmlns:ds="http://schemas.openxmlformats.org/officeDocument/2006/customXml" ds:itemID="{ADB0122B-D06F-47C3-822B-6A2DAE61D675}">
  <ds:schemaRefs>
    <ds:schemaRef ds:uri="http://schemas.microsoft.com/sharepoint/v3/contenttype/forms"/>
  </ds:schemaRefs>
</ds:datastoreItem>
</file>

<file path=customXml/itemProps3.xml><?xml version="1.0" encoding="utf-8"?>
<ds:datastoreItem xmlns:ds="http://schemas.openxmlformats.org/officeDocument/2006/customXml" ds:itemID="{6891846C-16B1-4532-ABF7-C64C2EF0F5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3061e26-40f4-4fe1-beb3-c3488d786496"/>
    <ds:schemaRef ds:uri="de3520aa-c4b5-4e07-8dbc-8cd65c63c88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Main</vt:lpstr>
      <vt:lpstr>Backlog</vt:lpstr>
      <vt:lpstr>Impediment</vt:lpstr>
      <vt:lpstr>Summary</vt:lpstr>
      <vt:lpstr>Retrospective</vt:lpstr>
      <vt:lpstr>References</vt:lpstr>
      <vt:lpstr>Tracker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Scrum Template</dc:title>
  <dc:subject/>
  <dc:creator>Raniel Dela Cruz</dc:creator>
  <cp:keywords/>
  <dc:description/>
  <cp:lastModifiedBy>Nairb Akillis Varona</cp:lastModifiedBy>
  <cp:revision/>
  <dcterms:created xsi:type="dcterms:W3CDTF">2018-12-26T04:30:06Z</dcterms:created>
  <dcterms:modified xsi:type="dcterms:W3CDTF">2026-10-11T09:05:51Z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0x01010025AEBB61A702074F8E67AB36524107BA</vt:lpwstr>
  </property>
  <property fmtid="{D5CDD505-2E9C-101B-9397-08002B2CF9AE}" pid="3" name="MediaServiceImageTags">
    <vt:lpwstr/>
  </property>
</Properties>
</file>